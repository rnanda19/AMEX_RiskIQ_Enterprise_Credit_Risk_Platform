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xposure Impact" sheetId="3" state="visible" r:id="rId3"/>
    <sheet xmlns:r="http://schemas.openxmlformats.org/officeDocument/2006/relationships" name="Tier P&amp;L Summary" sheetId="4" state="visible" r:id="rId4"/>
    <sheet xmlns:r="http://schemas.openxmlformats.org/officeDocument/2006/relationships" name="Live Sample (Deployed Service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-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165" fontId="6" fillId="7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8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wrapText="1"/>
    </xf>
    <xf numFmtId="0" fontId="7" fillId="0" borderId="0" pivotButton="0" quotePrefix="0" xfId="0"/>
    <xf numFmtId="0" fontId="8" fillId="5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Benefit Components per Cycle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'Exposure Impact'!$A$6:$A$8</f>
            </numRef>
          </cat>
          <val>
            <numRef>
              <f>'Exposure Impact'!$B$6:$B$8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5" headerRowCount="1">
  <autoFilter ref="A1:C5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xposureImpact" displayName="ExposureImpact" ref="A1:B9" headerRowCount="1">
  <autoFilter ref="A1:B9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ierPLSummary" displayName="TierPLSummary" ref="A1:H4" headerRowCount="1">
  <autoFilter ref="A1:H4"/>
  <tableColumns count="8">
    <tableColumn id="1" name="Tier"/>
    <tableColumn id="2" name="N"/>
    <tableColumn id="3" name="Mean Risk Score"/>
    <tableColumn id="4" name="Mean Revenue (USD)"/>
    <tableColumn id="5" name="Mean PD-Adj Revenue (USD)"/>
    <tableColumn id="6" name="Mean Expected Loss (USD)"/>
    <tableColumn id="7" name="Mean Profitability (USD)"/>
    <tableColumn id="8" name="Real Default Rate"/>
  </tableColumns>
  <tableStyleInfo name="TableStyleMedium6" showRowStripes="1"/>
</table>
</file>

<file path=xl/tables/table4.xml><?xml version="1.0" encoding="utf-8"?>
<table xmlns="http://schemas.openxmlformats.org/spreadsheetml/2006/main" id="4" name="LiveSample" displayName="LiveSample" ref="A1:H351" headerRowCount="1">
  <autoFilter ref="A1:H351"/>
  <tableColumns count="8">
    <tableColumn id="1" name="Customer ID"/>
    <tableColumn id="2" name="Unified Risk Score"/>
    <tableColumn id="3" name="Spend Percentile Rank"/>
    <tableColumn id="4" name="Revenue (USD)"/>
    <tableColumn id="5" name="PD-Adj Revenue (USD)"/>
    <tableColumn id="6" name="Expected Loss (USD)"/>
    <tableColumn id="7" name="Profitability Score (USD)"/>
    <tableColumn id="8" name="Tier"/>
  </tableColumns>
  <tableStyleInfo name="TableStyleMedium9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13: Risk-Adjusted Profitability Modeling</t>
        </is>
      </c>
    </row>
    <row r="3">
      <c r="B3" s="2" t="inlineStr">
        <is>
          <t>Comprehensive Financial Impact Summary</t>
        </is>
      </c>
    </row>
    <row r="5">
      <c r="B5" s="3" t="inlineStr">
        <is>
          <t>Real Scored Population</t>
        </is>
      </c>
      <c r="D5" s="4" t="inlineStr">
        <is>
          <t>447,695</t>
        </is>
      </c>
    </row>
    <row r="6">
      <c r="B6" s="3" t="inlineStr">
        <is>
          <t>Real Cross-Tier Segment</t>
        </is>
      </c>
      <c r="D6" s="4" t="inlineStr">
        <is>
          <t>148,855</t>
        </is>
      </c>
    </row>
    <row r="7">
      <c r="B7" s="3" t="inlineStr">
        <is>
          <t>Net Benefit / Cycle</t>
        </is>
      </c>
      <c r="D7" s="5">
        <f>'Exposure Impact'!B8</f>
        <v/>
      </c>
    </row>
    <row r="8">
      <c r="B8" s="3" t="inlineStr">
        <is>
          <t>Amount Invested</t>
        </is>
      </c>
      <c r="D8" s="6">
        <f>"$"&amp;TEXT(Assumptions!$B$4,"#,##0")</f>
        <v/>
      </c>
    </row>
    <row r="9">
      <c r="B9" s="3" t="inlineStr">
        <is>
          <t>Estimated Year-1 ROI</t>
        </is>
      </c>
      <c r="D9" s="7" t="inlineStr">
        <is>
          <t>1,741,721%  (reported, see Section 7)</t>
        </is>
      </c>
    </row>
    <row r="10">
      <c r="B10" s="3" t="inlineStr">
        <is>
          <t>Estimated Payback</t>
        </is>
      </c>
      <c r="D10" s="7" t="inlineStr">
        <is>
          <t>0.0 months  (reported, see Section 7)</t>
        </is>
      </c>
    </row>
    <row r="11">
      <c r="B11" s="3" t="inlineStr">
        <is>
          <t>Deployment Status</t>
        </is>
      </c>
      <c r="D11" s="8" t="inlineStr">
        <is>
          <t>RECOMMENDED for production</t>
        </is>
      </c>
    </row>
    <row r="13">
      <c r="B13" s="9" t="inlineStr">
        <is>
          <t>Rows recalculate live from the Assumptions and Exposure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D9:E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0" t="inlineStr">
        <is>
          <t>Assumption</t>
        </is>
      </c>
      <c r="B1" s="10" t="inlineStr">
        <is>
          <t>Value</t>
        </is>
      </c>
      <c r="C1" s="10" t="inlineStr">
        <is>
          <t>Source / Rationale</t>
        </is>
      </c>
    </row>
    <row r="2">
      <c r="A2" t="inlineStr">
        <is>
          <t>Exposure Reduction Rate</t>
        </is>
      </c>
      <c r="B2" s="11" t="n">
        <v>0.25</v>
      </c>
      <c r="C2" s="12" t="inlineStr">
        <is>
          <t>ASSUMPTION -- illustrative reduction in real EXPECTED_LOSS_USD achieved by proactively capping/reducing credit exposure on the real High Risk + Low Profitability cross-tier segment; set below Problem 9's own collections-intervention success rates (12-15%) is NOT comparable here -- this is a preventive exposure-management action on accounts before delinquency, not a post-delinquency cure attempt, so a materially higher achievable reduction is assumed; edit to your institution's own exposure-management outcome data.</t>
        </is>
      </c>
    </row>
    <row r="3">
      <c r="A3" t="inlineStr">
        <is>
          <t>Segment Review Cost Usd Per Account</t>
        </is>
      </c>
      <c r="B3" s="13" t="n">
        <v>18</v>
      </c>
      <c r="C3" s="12" t="inlineStr">
        <is>
          <t>ASSUMPTION -- illustrative per-account cost to review and action this cross-tier segment (a credit-line-reduction memo plus system update); set above Problem 11's $12 per-account cohort-review cost since this decision requires cross-referencing two real signals (risk grade and profitability tier), not one; edit to your institution's actual cost.</t>
        </is>
      </c>
    </row>
    <row r="4">
      <c r="A4" t="inlineStr">
        <is>
          <t>Implementation Cost Usd</t>
        </is>
      </c>
      <c r="B4" s="13" t="n">
        <v>40000</v>
      </c>
      <c r="C4" s="12" t="inlineStr">
        <is>
          <t>ASSUMPTION -- illustrative one-time build/validate/deploy cost for the profitability-scoring service and its reporting dashboard; set between Problem 12's $45,000 (a four-signal composite) and Problem 11's $38,000 (a stateless aggregator) since this service composes one upstream signal (Problem 12's UNIFIED_RISK_SCORE) with a new, simpler formula rather than four; edit to your institution's actual project cost.</t>
        </is>
      </c>
    </row>
    <row r="5">
      <c r="A5" t="inlineStr">
        <is>
          <t>Annual Application Cycles</t>
        </is>
      </c>
      <c r="B5" s="14" t="n">
        <v>12</v>
      </c>
      <c r="C5" s="12" t="inlineStr">
        <is>
          <t>ASSUMPTION -- monthly cadence, matching the platform's established monthly statement/refresh grain;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Real Cross-Tier Segment Population</t>
        </is>
      </c>
      <c r="B2" t="n">
        <v>148855</v>
      </c>
    </row>
    <row r="3">
      <c r="A3" t="inlineStr">
        <is>
          <t>Real Total Expected Loss Across Segment (USD)</t>
        </is>
      </c>
      <c r="B3" s="15" t="n">
        <v>242960310.3195642</v>
      </c>
    </row>
    <row r="4">
      <c r="A4" t="inlineStr">
        <is>
          <t>Real Total Assumption-Scaled Revenue Across Segment (USD)</t>
        </is>
      </c>
      <c r="B4" s="15" t="n">
        <v>11356144.24554708</v>
      </c>
    </row>
    <row r="5">
      <c r="A5" t="inlineStr">
        <is>
          <t>Real Default Rate on Segment</t>
        </is>
      </c>
      <c r="B5" s="16" t="n">
        <v>0.7178462261932753</v>
      </c>
    </row>
    <row r="6">
      <c r="A6" t="inlineStr">
        <is>
          <t>Gross Exposure-Reduction Benefit / Cycle (USD)</t>
        </is>
      </c>
      <c r="B6" s="15">
        <f>B3*Assumptions!$B$2</f>
        <v/>
      </c>
    </row>
    <row r="7">
      <c r="A7" t="inlineStr">
        <is>
          <t>Segment Review Cost / Cycle (USD)</t>
        </is>
      </c>
      <c r="B7" s="15">
        <f>B2*Assumptions!$B$3</f>
        <v/>
      </c>
    </row>
    <row r="8">
      <c r="A8" t="inlineStr">
        <is>
          <t>Net Benefit / Cycle (USD)</t>
        </is>
      </c>
      <c r="B8" s="15">
        <f>B6-B7</f>
        <v/>
      </c>
    </row>
    <row r="9">
      <c r="A9" t="inlineStr">
        <is>
          <t>Annual Net Benefit (USD)</t>
        </is>
      </c>
      <c r="B9" s="15">
        <f>B8*Assumptions!$B$5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>
      <c r="A1" s="10" t="inlineStr">
        <is>
          <t>Tier</t>
        </is>
      </c>
      <c r="B1" s="10" t="inlineStr">
        <is>
          <t>N</t>
        </is>
      </c>
      <c r="C1" s="10" t="inlineStr">
        <is>
          <t>Mean Risk Score</t>
        </is>
      </c>
      <c r="D1" s="10" t="inlineStr">
        <is>
          <t>Mean Revenue (USD)</t>
        </is>
      </c>
      <c r="E1" s="10" t="inlineStr">
        <is>
          <t>Mean PD-Adj Revenue (USD)</t>
        </is>
      </c>
      <c r="F1" s="10" t="inlineStr">
        <is>
          <t>Mean Expected Loss (USD)</t>
        </is>
      </c>
      <c r="G1" s="10" t="inlineStr">
        <is>
          <t>Mean Profitability (USD)</t>
        </is>
      </c>
      <c r="H1" s="10" t="inlineStr">
        <is>
          <t>Real Default Rate</t>
        </is>
      </c>
    </row>
    <row r="2">
      <c r="A2" t="inlineStr">
        <is>
          <t>Low Profitability</t>
        </is>
      </c>
      <c r="B2" t="n">
        <v>30026</v>
      </c>
      <c r="C2" t="n">
        <v>0.7213000000000001</v>
      </c>
      <c r="D2" s="15" t="n">
        <v>76.19</v>
      </c>
      <c r="E2" s="15" t="n">
        <v>21.37</v>
      </c>
      <c r="F2" s="15" t="n">
        <v>1622.84</v>
      </c>
      <c r="G2" s="15" t="n">
        <v>-1601.47</v>
      </c>
      <c r="H2" s="16" t="n">
        <v>0.7063</v>
      </c>
    </row>
    <row r="3">
      <c r="A3" t="inlineStr">
        <is>
          <t>Medium Profitability</t>
        </is>
      </c>
      <c r="B3" t="n">
        <v>29884</v>
      </c>
      <c r="C3" t="n">
        <v>0.1437</v>
      </c>
      <c r="D3" s="15" t="n">
        <v>67.67</v>
      </c>
      <c r="E3" s="15" t="n">
        <v>57.53</v>
      </c>
      <c r="F3" s="15" t="n">
        <v>323.35</v>
      </c>
      <c r="G3" s="15" t="n">
        <v>-265.82</v>
      </c>
      <c r="H3" s="16" t="n">
        <v>0.0592</v>
      </c>
    </row>
    <row r="4">
      <c r="A4" t="inlineStr">
        <is>
          <t>High Profitability</t>
        </is>
      </c>
      <c r="B4" t="n">
        <v>29659</v>
      </c>
      <c r="C4" t="n">
        <v>0.009299999999999999</v>
      </c>
      <c r="D4" s="15" t="n">
        <v>69.66</v>
      </c>
      <c r="E4" s="15" t="n">
        <v>68.92</v>
      </c>
      <c r="F4" s="15" t="n">
        <v>20.92</v>
      </c>
      <c r="G4" s="15" t="n">
        <v>47.99</v>
      </c>
      <c r="H4" s="16" t="n">
        <v>0.0029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6" customWidth="1" min="5" max="5"/>
    <col width="14" customWidth="1" min="6" max="6"/>
    <col width="16" customWidth="1" min="7" max="7"/>
    <col width="20" customWidth="1" min="8" max="8"/>
  </cols>
  <sheetData>
    <row r="1">
      <c r="A1" s="10" t="inlineStr">
        <is>
          <t>Customer ID</t>
        </is>
      </c>
      <c r="B1" s="10" t="inlineStr">
        <is>
          <t>Unified Risk Score</t>
        </is>
      </c>
      <c r="C1" s="10" t="inlineStr">
        <is>
          <t>Spend Percentile Rank</t>
        </is>
      </c>
      <c r="D1" s="10" t="inlineStr">
        <is>
          <t>Revenue (USD)</t>
        </is>
      </c>
      <c r="E1" s="10" t="inlineStr">
        <is>
          <t>PD-Adj Revenue (USD)</t>
        </is>
      </c>
      <c r="F1" s="10" t="inlineStr">
        <is>
          <t>Expected Loss (USD)</t>
        </is>
      </c>
      <c r="G1" s="10" t="inlineStr">
        <is>
          <t>Profitability Score (USD)</t>
        </is>
      </c>
      <c r="H1" s="10" t="inlineStr">
        <is>
          <t>Tier</t>
        </is>
      </c>
    </row>
    <row r="2">
      <c r="A2" s="17" t="inlineStr">
        <is>
          <t>dbb6d6e253229a3f8731683e0551f337bd03bca74bfb3fbda9bc260367713172</t>
        </is>
      </c>
      <c r="B2" s="17" t="n">
        <v>0.6732</v>
      </c>
      <c r="C2" s="17" t="n">
        <v>0.9939</v>
      </c>
      <c r="D2" s="17" t="n">
        <v>116.45</v>
      </c>
      <c r="E2" s="17" t="n">
        <v>38.06</v>
      </c>
      <c r="F2" s="17" t="n">
        <v>1514.66</v>
      </c>
      <c r="G2" s="17" t="n">
        <v>-1476.6</v>
      </c>
      <c r="H2" s="17" t="inlineStr">
        <is>
          <t>Low Profitability</t>
        </is>
      </c>
    </row>
    <row r="3">
      <c r="A3" s="17" t="inlineStr">
        <is>
          <t>4ffea462bf8d25099460821bf4f984c4661133716da8f22f84bf3eb3e895e8d0</t>
        </is>
      </c>
      <c r="B3" s="17" t="n">
        <v>0.7176</v>
      </c>
      <c r="C3" s="17" t="n">
        <v>0.6576</v>
      </c>
      <c r="D3" s="17" t="n">
        <v>85.84</v>
      </c>
      <c r="E3" s="17" t="n">
        <v>24.24</v>
      </c>
      <c r="F3" s="17" t="n">
        <v>1614.64</v>
      </c>
      <c r="G3" s="17" t="n">
        <v>-1590.4</v>
      </c>
      <c r="H3" s="17" t="inlineStr">
        <is>
          <t>Low Profitability</t>
        </is>
      </c>
    </row>
    <row r="4">
      <c r="A4" s="18" t="inlineStr">
        <is>
          <t>34ac45a8b606f953bf30a7ff10fd84e1177983ceee095f0fade47cad7cac7e59</t>
        </is>
      </c>
      <c r="B4" s="18" t="n">
        <v>0.0801</v>
      </c>
      <c r="C4" s="18" t="n">
        <v>0.6545</v>
      </c>
      <c r="D4" s="18" t="n">
        <v>85.56</v>
      </c>
      <c r="E4" s="18" t="n">
        <v>78.7</v>
      </c>
      <c r="F4" s="18" t="n">
        <v>180.23</v>
      </c>
      <c r="G4" s="18" t="n">
        <v>-101.52</v>
      </c>
      <c r="H4" s="18" t="inlineStr">
        <is>
          <t>High Profitability</t>
        </is>
      </c>
    </row>
    <row r="5">
      <c r="A5" s="17" t="inlineStr">
        <is>
          <t>059bf32880d9228ef96338a1ca4e1c9c4536b59104d40dc4221f17c2f3ce004b</t>
        </is>
      </c>
      <c r="B5" s="17" t="n">
        <v>0.9878</v>
      </c>
      <c r="C5" s="17" t="n">
        <v>0.8077</v>
      </c>
      <c r="D5" s="17" t="n">
        <v>99.5</v>
      </c>
      <c r="E5" s="17" t="n">
        <v>1.21</v>
      </c>
      <c r="F5" s="17" t="n">
        <v>2222.57</v>
      </c>
      <c r="G5" s="17" t="n">
        <v>-2221.35</v>
      </c>
      <c r="H5" s="17" t="inlineStr">
        <is>
          <t>Low Profitability</t>
        </is>
      </c>
    </row>
    <row r="6">
      <c r="A6" t="inlineStr">
        <is>
          <t>54ac040b4110f830688a66915679ea6f301691fafb5315c9a3780d2fb3be9594</t>
        </is>
      </c>
      <c r="B6" t="n">
        <v>0.09089999999999999</v>
      </c>
      <c r="C6" t="n">
        <v>0.1661</v>
      </c>
      <c r="D6" t="n">
        <v>41.12</v>
      </c>
      <c r="E6" t="n">
        <v>37.38</v>
      </c>
      <c r="F6" t="n">
        <v>204.49</v>
      </c>
      <c r="G6" t="n">
        <v>-167.11</v>
      </c>
      <c r="H6" t="inlineStr">
        <is>
          <t>Medium Profitability</t>
        </is>
      </c>
    </row>
    <row r="7">
      <c r="A7" s="18" t="inlineStr">
        <is>
          <t>155743bf48b0779d5d9a4d20615942874e4e4132a33981fab94778971254318b</t>
        </is>
      </c>
      <c r="B7" s="18" t="n">
        <v>0.0054</v>
      </c>
      <c r="C7" s="18" t="n">
        <v>0.299</v>
      </c>
      <c r="D7" s="18" t="n">
        <v>53.21</v>
      </c>
      <c r="E7" s="18" t="n">
        <v>52.92</v>
      </c>
      <c r="F7" s="18" t="n">
        <v>12.23</v>
      </c>
      <c r="G7" s="18" t="n">
        <v>40.69</v>
      </c>
      <c r="H7" s="18" t="inlineStr">
        <is>
          <t>High Profitability</t>
        </is>
      </c>
    </row>
    <row r="8">
      <c r="A8" s="17" t="inlineStr">
        <is>
          <t>874abc2060962813ec72af46897a63a507dafd19cfeca99a5b844abc8023d305</t>
        </is>
      </c>
      <c r="B8" s="17" t="n">
        <v>0.9929</v>
      </c>
      <c r="C8" s="17" t="n">
        <v>0.3103</v>
      </c>
      <c r="D8" s="17" t="n">
        <v>54.23</v>
      </c>
      <c r="E8" s="17" t="n">
        <v>0.38</v>
      </c>
      <c r="F8" s="17" t="n">
        <v>2234.1</v>
      </c>
      <c r="G8" s="17" t="n">
        <v>-2233.71</v>
      </c>
      <c r="H8" s="17" t="inlineStr">
        <is>
          <t>Low Profitability</t>
        </is>
      </c>
    </row>
    <row r="9">
      <c r="A9" s="18" t="inlineStr">
        <is>
          <t>026e8560432d551b81e0e80b1332b6f6cfe5c5fa76469e3b2cc80e8f6178886f</t>
        </is>
      </c>
      <c r="B9" s="18" t="n">
        <v>0.0008</v>
      </c>
      <c r="C9" s="18" t="n">
        <v>0.5088</v>
      </c>
      <c r="D9" s="18" t="n">
        <v>72.3</v>
      </c>
      <c r="E9" s="18" t="n">
        <v>72.23999999999999</v>
      </c>
      <c r="F9" s="18" t="n">
        <v>1.79</v>
      </c>
      <c r="G9" s="18" t="n">
        <v>70.45</v>
      </c>
      <c r="H9" s="18" t="inlineStr">
        <is>
          <t>High Profitability</t>
        </is>
      </c>
    </row>
    <row r="10">
      <c r="A10" s="17" t="inlineStr">
        <is>
          <t>4c31bfec2cfc1ef60f1f0430b6c761e45e679e1ffb0ab6f9714a9007ee92c751</t>
        </is>
      </c>
      <c r="B10" s="17" t="n">
        <v>0.9272</v>
      </c>
      <c r="C10" s="17" t="n">
        <v>0.3858</v>
      </c>
      <c r="D10" s="17" t="n">
        <v>61.11</v>
      </c>
      <c r="E10" s="17" t="n">
        <v>4.45</v>
      </c>
      <c r="F10" s="17" t="n">
        <v>2086.12</v>
      </c>
      <c r="G10" s="17" t="n">
        <v>-2081.67</v>
      </c>
      <c r="H10" s="17" t="inlineStr">
        <is>
          <t>Low Profitability</t>
        </is>
      </c>
    </row>
    <row r="11">
      <c r="A11" s="17" t="inlineStr">
        <is>
          <t>d16b174e599df46542126f69bdab4487456d4fc8d29e75aa3db9ccdfea7fa937</t>
        </is>
      </c>
      <c r="B11" s="17" t="n">
        <v>0.6598000000000001</v>
      </c>
      <c r="C11" s="17" t="n">
        <v>0.9869</v>
      </c>
      <c r="D11" s="17" t="n">
        <v>115.81</v>
      </c>
      <c r="E11" s="17" t="n">
        <v>39.4</v>
      </c>
      <c r="F11" s="17" t="n">
        <v>1484.49</v>
      </c>
      <c r="G11" s="17" t="n">
        <v>-1445.09</v>
      </c>
      <c r="H11" s="17" t="inlineStr">
        <is>
          <t>Low Profitability</t>
        </is>
      </c>
    </row>
    <row r="12">
      <c r="A12" t="inlineStr">
        <is>
          <t>0ffc97761d5964f34d3d5198e365e12d51dcdfc632545a82b60aa8149627f9f0</t>
        </is>
      </c>
      <c r="B12" t="n">
        <v>0.1082</v>
      </c>
      <c r="C12" t="n">
        <v>0.8961</v>
      </c>
      <c r="D12" t="n">
        <v>107.54</v>
      </c>
      <c r="E12" t="n">
        <v>95.91</v>
      </c>
      <c r="F12" t="n">
        <v>243.38</v>
      </c>
      <c r="G12" t="n">
        <v>-147.47</v>
      </c>
      <c r="H12" t="inlineStr">
        <is>
          <t>Medium Profitability</t>
        </is>
      </c>
    </row>
    <row r="13">
      <c r="A13" s="18" t="inlineStr">
        <is>
          <t>6978e671b47aa3c0368ab40129b6ad9b6d42a4a2bd1cf567e3d4258aa6c35301</t>
        </is>
      </c>
      <c r="B13" s="18" t="n">
        <v>0.0016</v>
      </c>
      <c r="C13" s="18" t="n">
        <v>0.8108</v>
      </c>
      <c r="D13" s="18" t="n">
        <v>99.78</v>
      </c>
      <c r="E13" s="18" t="n">
        <v>99.63</v>
      </c>
      <c r="F13" s="18" t="n">
        <v>3.53</v>
      </c>
      <c r="G13" s="18" t="n">
        <v>96.09</v>
      </c>
      <c r="H13" s="18" t="inlineStr">
        <is>
          <t>High Profitability</t>
        </is>
      </c>
    </row>
    <row r="14">
      <c r="A14" t="inlineStr">
        <is>
          <t>b730d1518b32188d6d89a836b8bf95734ab26b3d119a93b6e54a548cc51c8d5f</t>
        </is>
      </c>
      <c r="B14" t="n">
        <v>0.2251</v>
      </c>
      <c r="C14" t="n">
        <v>0.5162</v>
      </c>
      <c r="D14" t="n">
        <v>72.97</v>
      </c>
      <c r="E14" t="n">
        <v>56.55</v>
      </c>
      <c r="F14" t="n">
        <v>506.42</v>
      </c>
      <c r="G14" t="n">
        <v>-449.87</v>
      </c>
      <c r="H14" t="inlineStr">
        <is>
          <t>Medium Profitability</t>
        </is>
      </c>
    </row>
    <row r="15">
      <c r="A15" t="inlineStr">
        <is>
          <t>636b3bac8006ac3c0f07011f27dacbd77f08b380c13bd171f140c7161f9c8e44</t>
        </is>
      </c>
      <c r="B15" t="n">
        <v>0.09569999999999999</v>
      </c>
      <c r="C15" t="n">
        <v>0.5455</v>
      </c>
      <c r="D15" t="n">
        <v>75.64</v>
      </c>
      <c r="E15" t="n">
        <v>68.40000000000001</v>
      </c>
      <c r="F15" t="n">
        <v>215.39</v>
      </c>
      <c r="G15" t="n">
        <v>-146.99</v>
      </c>
      <c r="H15" t="inlineStr">
        <is>
          <t>Medium Profitability</t>
        </is>
      </c>
    </row>
    <row r="16">
      <c r="A16" s="18" t="inlineStr">
        <is>
          <t>595090fa69f40f284e9c613433b3ce3c6bd48fbea20235807279303a2841be99</t>
        </is>
      </c>
      <c r="B16" s="18" t="n">
        <v>0.004</v>
      </c>
      <c r="C16" s="18" t="n">
        <v>0.6112</v>
      </c>
      <c r="D16" s="18" t="n">
        <v>81.62</v>
      </c>
      <c r="E16" s="18" t="n">
        <v>81.29000000000001</v>
      </c>
      <c r="F16" s="18" t="n">
        <v>8.93</v>
      </c>
      <c r="G16" s="18" t="n">
        <v>72.36</v>
      </c>
      <c r="H16" s="18" t="inlineStr">
        <is>
          <t>High Profitability</t>
        </is>
      </c>
    </row>
    <row r="17">
      <c r="A17" s="17" t="inlineStr">
        <is>
          <t>309504a3b7f0bcb5fa10ea1daca2e71b5d0f61dcfea454114d55449681a78a72</t>
        </is>
      </c>
      <c r="B17" s="17" t="n">
        <v>0.5157</v>
      </c>
      <c r="C17" s="17" t="n">
        <v>0.9775</v>
      </c>
      <c r="D17" s="17" t="n">
        <v>114.96</v>
      </c>
      <c r="E17" s="17" t="n">
        <v>55.67</v>
      </c>
      <c r="F17" s="17" t="n">
        <v>1160.3</v>
      </c>
      <c r="G17" s="17" t="n">
        <v>-1104.63</v>
      </c>
      <c r="H17" s="17" t="inlineStr">
        <is>
          <t>Low Profitability</t>
        </is>
      </c>
    </row>
    <row r="18">
      <c r="A18" s="18" t="inlineStr">
        <is>
          <t>a0a253bd3ebe1a764cbc8ac670c8822f4e276609bde905f5d97533081b63f9ef</t>
        </is>
      </c>
      <c r="B18" s="18" t="n">
        <v>0.0012</v>
      </c>
      <c r="C18" s="18" t="n">
        <v>0.067</v>
      </c>
      <c r="D18" s="18" t="n">
        <v>32.1</v>
      </c>
      <c r="E18" s="18" t="n">
        <v>32.06</v>
      </c>
      <c r="F18" s="18" t="n">
        <v>2.59</v>
      </c>
      <c r="G18" s="18" t="n">
        <v>29.47</v>
      </c>
      <c r="H18" s="18" t="inlineStr">
        <is>
          <t>High Profitability</t>
        </is>
      </c>
    </row>
    <row r="19">
      <c r="A19" s="17" t="inlineStr">
        <is>
          <t>50e66c9cafe33521df6a263e8997946c87cea27bd008ad75a3434ca54cdbef4a</t>
        </is>
      </c>
      <c r="B19" s="17" t="n">
        <v>0.8718</v>
      </c>
      <c r="C19" s="17" t="n">
        <v>0.0629</v>
      </c>
      <c r="D19" s="17" t="n">
        <v>31.73</v>
      </c>
      <c r="E19" s="17" t="n">
        <v>4.07</v>
      </c>
      <c r="F19" s="17" t="n">
        <v>1961.58</v>
      </c>
      <c r="G19" s="17" t="n">
        <v>-1957.52</v>
      </c>
      <c r="H19" s="17" t="inlineStr">
        <is>
          <t>Low Profitability</t>
        </is>
      </c>
    </row>
    <row r="20">
      <c r="A20" s="17" t="inlineStr">
        <is>
          <t>afd9f6de4842cb40da10f1d90f7aae04e8acf8f51a18a088cc17bece56707845</t>
        </is>
      </c>
      <c r="B20" s="17" t="n">
        <v>0.8788</v>
      </c>
      <c r="C20" s="17" t="n">
        <v>0.2978</v>
      </c>
      <c r="D20" s="17" t="n">
        <v>53.1</v>
      </c>
      <c r="E20" s="17" t="n">
        <v>6.43</v>
      </c>
      <c r="F20" s="17" t="n">
        <v>1977.39</v>
      </c>
      <c r="G20" s="17" t="n">
        <v>-1970.95</v>
      </c>
      <c r="H20" s="17" t="inlineStr">
        <is>
          <t>Low Profitability</t>
        </is>
      </c>
    </row>
    <row r="21">
      <c r="A21" t="inlineStr">
        <is>
          <t>f96d5293dedce886350e89acb7e96a2a3e04c6ab22cc789b596b4170c8897d87</t>
        </is>
      </c>
      <c r="B21" t="n">
        <v>0.0946</v>
      </c>
      <c r="C21" t="n">
        <v>0.2125</v>
      </c>
      <c r="D21" t="n">
        <v>45.34</v>
      </c>
      <c r="E21" t="n">
        <v>41.05</v>
      </c>
      <c r="F21" t="n">
        <v>212.93</v>
      </c>
      <c r="G21" t="n">
        <v>-171.88</v>
      </c>
      <c r="H21" t="inlineStr">
        <is>
          <t>Medium Profitability</t>
        </is>
      </c>
    </row>
    <row r="22">
      <c r="A22" s="18" t="inlineStr">
        <is>
          <t>a0ad012d79fb951f6c91cd85e233e76d04c68723f24811093b2d23580a74a66e</t>
        </is>
      </c>
      <c r="B22" s="18" t="n">
        <v>0.0055</v>
      </c>
      <c r="C22" s="18" t="n">
        <v>0.4122</v>
      </c>
      <c r="D22" s="18" t="n">
        <v>63.51</v>
      </c>
      <c r="E22" s="18" t="n">
        <v>63.16</v>
      </c>
      <c r="F22" s="18" t="n">
        <v>12.36</v>
      </c>
      <c r="G22" s="18" t="n">
        <v>50.8</v>
      </c>
      <c r="H22" s="18" t="inlineStr">
        <is>
          <t>High Profitability</t>
        </is>
      </c>
    </row>
    <row r="23">
      <c r="A23" s="17" t="inlineStr">
        <is>
          <t>e54962840341b3eb3081f0c5047a77362a200baba6a8ae3764e076d27c14af0f</t>
        </is>
      </c>
      <c r="B23" s="17" t="n">
        <v>0.5022</v>
      </c>
      <c r="C23" s="17" t="n">
        <v>0.5824</v>
      </c>
      <c r="D23" s="17" t="n">
        <v>79</v>
      </c>
      <c r="E23" s="17" t="n">
        <v>39.33</v>
      </c>
      <c r="F23" s="17" t="n">
        <v>1129.96</v>
      </c>
      <c r="G23" s="17" t="n">
        <v>-1090.63</v>
      </c>
      <c r="H23" s="17" t="inlineStr">
        <is>
          <t>Low Profitability</t>
        </is>
      </c>
    </row>
    <row r="24">
      <c r="A24" t="inlineStr">
        <is>
          <t>328ed302638c0768d37320cae6687e024b2342360621b62d7669e60dcf9799f7</t>
        </is>
      </c>
      <c r="B24" t="n">
        <v>0.1097</v>
      </c>
      <c r="C24" t="n">
        <v>0.3056</v>
      </c>
      <c r="D24" t="n">
        <v>53.81</v>
      </c>
      <c r="E24" t="n">
        <v>47.9</v>
      </c>
      <c r="F24" t="n">
        <v>246.88</v>
      </c>
      <c r="G24" t="n">
        <v>-198.98</v>
      </c>
      <c r="H24" t="inlineStr">
        <is>
          <t>Medium Profitability</t>
        </is>
      </c>
    </row>
    <row r="25">
      <c r="A25" t="inlineStr">
        <is>
          <t>19c91ea410d0ac3011217cdccc9364b3a510855efb63e419da490728bb0de7cf</t>
        </is>
      </c>
      <c r="B25" t="n">
        <v>0.1225</v>
      </c>
      <c r="C25" t="n">
        <v>0.8080000000000001</v>
      </c>
      <c r="D25" t="n">
        <v>99.53</v>
      </c>
      <c r="E25" t="n">
        <v>87.33</v>
      </c>
      <c r="F25" t="n">
        <v>275.73</v>
      </c>
      <c r="G25" t="n">
        <v>-188.4</v>
      </c>
      <c r="H25" t="inlineStr">
        <is>
          <t>Medium Profitability</t>
        </is>
      </c>
    </row>
    <row r="26">
      <c r="A26" t="inlineStr">
        <is>
          <t>91d20a7a40f6d1aceed80a6e292b4a7a006af6a36974b9c56888ed0127249d28</t>
        </is>
      </c>
      <c r="B26" t="n">
        <v>0.07779999999999999</v>
      </c>
      <c r="C26" t="n">
        <v>0.2339</v>
      </c>
      <c r="D26" t="n">
        <v>47.28</v>
      </c>
      <c r="E26" t="n">
        <v>43.61</v>
      </c>
      <c r="F26" t="n">
        <v>174.97</v>
      </c>
      <c r="G26" t="n">
        <v>-131.36</v>
      </c>
      <c r="H26" t="inlineStr">
        <is>
          <t>Medium Profitability</t>
        </is>
      </c>
    </row>
    <row r="27">
      <c r="A27" s="18" t="inlineStr">
        <is>
          <t>d6d2496489092c238742ef6274bbbdc476fd6893ccecec81bd45e279f2db919a</t>
        </is>
      </c>
      <c r="B27" s="18" t="n">
        <v>0.0034</v>
      </c>
      <c r="C27" s="18" t="n">
        <v>0.2474</v>
      </c>
      <c r="D27" s="18" t="n">
        <v>48.51</v>
      </c>
      <c r="E27" s="18" t="n">
        <v>48.34</v>
      </c>
      <c r="F27" s="18" t="n">
        <v>7.73</v>
      </c>
      <c r="G27" s="18" t="n">
        <v>40.61</v>
      </c>
      <c r="H27" s="18" t="inlineStr">
        <is>
          <t>High Profitability</t>
        </is>
      </c>
    </row>
    <row r="28">
      <c r="A28" s="17" t="inlineStr">
        <is>
          <t>384d6ebfa22305ab66fc7ccf08ad9ec9e2f537762dae15a66d7c1d61c0814790</t>
        </is>
      </c>
      <c r="B28" s="17" t="n">
        <v>0.8465</v>
      </c>
      <c r="C28" s="17" t="n">
        <v>0.2864</v>
      </c>
      <c r="D28" s="17" t="n">
        <v>52.06</v>
      </c>
      <c r="E28" s="17" t="n">
        <v>7.99</v>
      </c>
      <c r="F28" s="17" t="n">
        <v>1904.59</v>
      </c>
      <c r="G28" s="17" t="n">
        <v>-1896.6</v>
      </c>
      <c r="H28" s="17" t="inlineStr">
        <is>
          <t>Low Profitability</t>
        </is>
      </c>
    </row>
    <row r="29">
      <c r="A29" t="inlineStr">
        <is>
          <t>2ccdbeb57c65558c01b16dee1f9ff1be95c5be1658d138a9614f7ae574d74c90</t>
        </is>
      </c>
      <c r="B29" t="n">
        <v>0.1547</v>
      </c>
      <c r="C29" t="n">
        <v>0.7224</v>
      </c>
      <c r="D29" t="n">
        <v>91.73999999999999</v>
      </c>
      <c r="E29" t="n">
        <v>77.55</v>
      </c>
      <c r="F29" t="n">
        <v>348.14</v>
      </c>
      <c r="G29" t="n">
        <v>-270.59</v>
      </c>
      <c r="H29" t="inlineStr">
        <is>
          <t>Medium Profitability</t>
        </is>
      </c>
    </row>
    <row r="30">
      <c r="A30" s="18" t="inlineStr">
        <is>
          <t>1417c3ed84620091a422ff43cefd1bb60a1e485efc4f9196a17ec31bc7cd8641</t>
        </is>
      </c>
      <c r="B30" s="18" t="n">
        <v>0.07099999999999999</v>
      </c>
      <c r="C30" s="18" t="n">
        <v>0.6850000000000001</v>
      </c>
      <c r="D30" s="18" t="n">
        <v>88.33</v>
      </c>
      <c r="E30" s="18" t="n">
        <v>82.06</v>
      </c>
      <c r="F30" s="18" t="n">
        <v>159.71</v>
      </c>
      <c r="G30" s="18" t="n">
        <v>-77.65000000000001</v>
      </c>
      <c r="H30" s="18" t="inlineStr">
        <is>
          <t>High Profitability</t>
        </is>
      </c>
    </row>
    <row r="31">
      <c r="A31" s="17" t="inlineStr">
        <is>
          <t>3f6a529c38b1d792913398cf14cde64a23c2755037ab46749ab430f5d692a6de</t>
        </is>
      </c>
      <c r="B31" s="17" t="n">
        <v>0.6496</v>
      </c>
      <c r="C31" s="17" t="n">
        <v>0.2733</v>
      </c>
      <c r="D31" s="17" t="n">
        <v>50.87</v>
      </c>
      <c r="E31" s="17" t="n">
        <v>17.83</v>
      </c>
      <c r="F31" s="17" t="n">
        <v>1461.59</v>
      </c>
      <c r="G31" s="17" t="n">
        <v>-1443.76</v>
      </c>
      <c r="H31" s="17" t="inlineStr">
        <is>
          <t>Low Profitability</t>
        </is>
      </c>
    </row>
    <row r="32">
      <c r="A32" s="17" t="inlineStr">
        <is>
          <t>35f0b5c039522039f6eae50ed94a5c0c9d73cf7fb4b9fe6daddc4246827fefa4</t>
        </is>
      </c>
      <c r="B32" s="17" t="n">
        <v>0.8915</v>
      </c>
      <c r="C32" s="17" t="n">
        <v>0.6318</v>
      </c>
      <c r="D32" s="17" t="n">
        <v>83.5</v>
      </c>
      <c r="E32" s="17" t="n">
        <v>9.06</v>
      </c>
      <c r="F32" s="17" t="n">
        <v>2005.92</v>
      </c>
      <c r="G32" s="17" t="n">
        <v>-1996.86</v>
      </c>
      <c r="H32" s="17" t="inlineStr">
        <is>
          <t>Low Profitability</t>
        </is>
      </c>
    </row>
    <row r="33">
      <c r="A33" s="18" t="inlineStr">
        <is>
          <t>a66ba82cdc1eeab41b2f6b5e36821ff112989888dfaa7cd319c99a30eea74e27</t>
        </is>
      </c>
      <c r="B33" s="18" t="n">
        <v>0.07049999999999999</v>
      </c>
      <c r="C33" s="18" t="n">
        <v>0.7796</v>
      </c>
      <c r="D33" s="18" t="n">
        <v>96.94</v>
      </c>
      <c r="E33" s="18" t="n">
        <v>90.11</v>
      </c>
      <c r="F33" s="18" t="n">
        <v>158.62</v>
      </c>
      <c r="G33" s="18" t="n">
        <v>-68.51000000000001</v>
      </c>
      <c r="H33" s="18" t="inlineStr">
        <is>
          <t>High Profitability</t>
        </is>
      </c>
    </row>
    <row r="34">
      <c r="A34" s="18" t="inlineStr">
        <is>
          <t>773b4f11ef026c0a406324a5d5f2a92b493b103308ba72cf56155c8b67935ba5</t>
        </is>
      </c>
      <c r="B34" s="18" t="n">
        <v>0.0014</v>
      </c>
      <c r="C34" s="18" t="n">
        <v>0.9019</v>
      </c>
      <c r="D34" s="18" t="n">
        <v>108.07</v>
      </c>
      <c r="E34" s="18" t="n">
        <v>107.92</v>
      </c>
      <c r="F34" s="18" t="n">
        <v>3.18</v>
      </c>
      <c r="G34" s="18" t="n">
        <v>104.74</v>
      </c>
      <c r="H34" s="18" t="inlineStr">
        <is>
          <t>High Profitability</t>
        </is>
      </c>
    </row>
    <row r="35">
      <c r="A35" s="18" t="inlineStr">
        <is>
          <t>82e7da12e7848af0ad46ba4862a1438eb846b77767cbcdacfa6acd32fbc2501f</t>
        </is>
      </c>
      <c r="B35" s="18" t="n">
        <v>0.0049</v>
      </c>
      <c r="C35" s="18" t="n">
        <v>0.4992</v>
      </c>
      <c r="D35" s="18" t="n">
        <v>71.43000000000001</v>
      </c>
      <c r="E35" s="18" t="n">
        <v>71.08</v>
      </c>
      <c r="F35" s="18" t="n">
        <v>10.95</v>
      </c>
      <c r="G35" s="18" t="n">
        <v>60.13</v>
      </c>
      <c r="H35" s="18" t="inlineStr">
        <is>
          <t>High Profitability</t>
        </is>
      </c>
    </row>
    <row r="36">
      <c r="A36" s="18" t="inlineStr">
        <is>
          <t>0691a31bae2f1f17048725b5faf27cfd8394a0a0aaa4baa6c2ecc041b34af664</t>
        </is>
      </c>
      <c r="B36" s="18" t="n">
        <v>0.0024</v>
      </c>
      <c r="C36" s="18" t="n">
        <v>0.019</v>
      </c>
      <c r="D36" s="18" t="n">
        <v>27.73</v>
      </c>
      <c r="E36" s="18" t="n">
        <v>27.66</v>
      </c>
      <c r="F36" s="18" t="n">
        <v>5.44</v>
      </c>
      <c r="G36" s="18" t="n">
        <v>22.22</v>
      </c>
      <c r="H36" s="18" t="inlineStr">
        <is>
          <t>High Profitability</t>
        </is>
      </c>
    </row>
    <row r="37">
      <c r="A37" t="inlineStr">
        <is>
          <t>7776824221a7dd28c9b0328d0fe66a6fb8f8b2d1ba51413dada0eeef23efd372</t>
        </is>
      </c>
      <c r="B37" t="n">
        <v>0.1617</v>
      </c>
      <c r="C37" t="n">
        <v>0.9135</v>
      </c>
      <c r="D37" t="n">
        <v>109.13</v>
      </c>
      <c r="E37" t="n">
        <v>91.48999999999999</v>
      </c>
      <c r="F37" t="n">
        <v>363.76</v>
      </c>
      <c r="G37" t="n">
        <v>-272.27</v>
      </c>
      <c r="H37" t="inlineStr">
        <is>
          <t>Medium Profitability</t>
        </is>
      </c>
    </row>
    <row r="38">
      <c r="A38" s="17" t="inlineStr">
        <is>
          <t>4d763e2459f972ceff7748dae899309b56ade7324d5a57cc0fc5d848fc370377</t>
        </is>
      </c>
      <c r="B38" s="17" t="n">
        <v>0.9752</v>
      </c>
      <c r="C38" s="17" t="n">
        <v>0.096</v>
      </c>
      <c r="D38" s="17" t="n">
        <v>34.74</v>
      </c>
      <c r="E38" s="17" t="n">
        <v>0.86</v>
      </c>
      <c r="F38" s="17" t="n">
        <v>2194.28</v>
      </c>
      <c r="G38" s="17" t="n">
        <v>-2193.41</v>
      </c>
      <c r="H38" s="17" t="inlineStr">
        <is>
          <t>Low Profitability</t>
        </is>
      </c>
    </row>
    <row r="39">
      <c r="A39" s="18" t="inlineStr">
        <is>
          <t>838914e8a12960e5cc0072c2df6e81746e922994cb9c3089c8e9fba69e384757</t>
        </is>
      </c>
      <c r="B39" s="18" t="n">
        <v>0.002</v>
      </c>
      <c r="C39" s="18" t="n">
        <v>0.1314</v>
      </c>
      <c r="D39" s="18" t="n">
        <v>37.96</v>
      </c>
      <c r="E39" s="18" t="n">
        <v>37.89</v>
      </c>
      <c r="F39" s="18" t="n">
        <v>4.4</v>
      </c>
      <c r="G39" s="18" t="n">
        <v>33.48</v>
      </c>
      <c r="H39" s="18" t="inlineStr">
        <is>
          <t>High Profitability</t>
        </is>
      </c>
    </row>
    <row r="40">
      <c r="A40" t="inlineStr">
        <is>
          <t>baf6b5c74470cb7e50b9fb443077a327e2a39e995c0e295e39b84b08861d3781</t>
        </is>
      </c>
      <c r="B40" t="n">
        <v>0.1194</v>
      </c>
      <c r="C40" t="n">
        <v>0.1854</v>
      </c>
      <c r="D40" t="n">
        <v>42.88</v>
      </c>
      <c r="E40" t="n">
        <v>37.76</v>
      </c>
      <c r="F40" t="n">
        <v>268.69</v>
      </c>
      <c r="G40" t="n">
        <v>-230.94</v>
      </c>
      <c r="H40" t="inlineStr">
        <is>
          <t>Medium Profitability</t>
        </is>
      </c>
    </row>
    <row r="41">
      <c r="A41" t="inlineStr">
        <is>
          <t>497de5c15b3dac779acae095f44c224723cea410aa8e0b826f1f9eedcd7cce89</t>
        </is>
      </c>
      <c r="B41" t="n">
        <v>0.09039999999999999</v>
      </c>
      <c r="C41" t="n">
        <v>0.6713</v>
      </c>
      <c r="D41" t="n">
        <v>87.09</v>
      </c>
      <c r="E41" t="n">
        <v>79.20999999999999</v>
      </c>
      <c r="F41" t="n">
        <v>203.41</v>
      </c>
      <c r="G41" t="n">
        <v>-124.19</v>
      </c>
      <c r="H41" t="inlineStr">
        <is>
          <t>Medium Profitability</t>
        </is>
      </c>
    </row>
    <row r="42">
      <c r="A42" s="18" t="inlineStr">
        <is>
          <t>98edd89fa7b2908b6f0af5bfe846c962ac9c100d24d3c7c9484123e946178222</t>
        </is>
      </c>
      <c r="B42" s="18" t="n">
        <v>0.0013</v>
      </c>
      <c r="C42" s="18" t="n">
        <v>0.9146</v>
      </c>
      <c r="D42" s="18" t="n">
        <v>109.23</v>
      </c>
      <c r="E42" s="18" t="n">
        <v>109.09</v>
      </c>
      <c r="F42" s="18" t="n">
        <v>2.89</v>
      </c>
      <c r="G42" s="18" t="n">
        <v>106.2</v>
      </c>
      <c r="H42" s="18" t="inlineStr">
        <is>
          <t>High Profitability</t>
        </is>
      </c>
    </row>
    <row r="43">
      <c r="A43" s="18" t="inlineStr">
        <is>
          <t>9fb319c99e1e57dfede1af1f371707373b4cbb26bf74389d58f9cce3515c145a</t>
        </is>
      </c>
      <c r="B43" s="18" t="n">
        <v>0.0025</v>
      </c>
      <c r="C43" s="18" t="n">
        <v>0.0304</v>
      </c>
      <c r="D43" s="18" t="n">
        <v>28.77</v>
      </c>
      <c r="E43" s="18" t="n">
        <v>28.7</v>
      </c>
      <c r="F43" s="18" t="n">
        <v>5.52</v>
      </c>
      <c r="G43" s="18" t="n">
        <v>23.17</v>
      </c>
      <c r="H43" s="18" t="inlineStr">
        <is>
          <t>High Profitability</t>
        </is>
      </c>
    </row>
    <row r="44">
      <c r="A44" s="17" t="inlineStr">
        <is>
          <t>7d26096c0121fc68b2ddcc86ef6b23005b004608a4ffd15df46b97c5bde5a370</t>
        </is>
      </c>
      <c r="B44" s="17" t="n">
        <v>0.7104</v>
      </c>
      <c r="C44" s="17" t="n">
        <v>0.9767</v>
      </c>
      <c r="D44" s="17" t="n">
        <v>114.88</v>
      </c>
      <c r="E44" s="17" t="n">
        <v>33.27</v>
      </c>
      <c r="F44" s="17" t="n">
        <v>1598.36</v>
      </c>
      <c r="G44" s="17" t="n">
        <v>-1565.09</v>
      </c>
      <c r="H44" s="17" t="inlineStr">
        <is>
          <t>Low Profitability</t>
        </is>
      </c>
    </row>
    <row r="45">
      <c r="A45" s="17" t="inlineStr">
        <is>
          <t>eda3054db5faf659ea40ff7a0a144b27d8ff8836101cf9ba202ae5046b19a87a</t>
        </is>
      </c>
      <c r="B45" s="17" t="n">
        <v>0.7361</v>
      </c>
      <c r="C45" s="17" t="n">
        <v>0.2915</v>
      </c>
      <c r="D45" s="17" t="n">
        <v>52.53</v>
      </c>
      <c r="E45" s="17" t="n">
        <v>13.86</v>
      </c>
      <c r="F45" s="17" t="n">
        <v>1656.21</v>
      </c>
      <c r="G45" s="17" t="n">
        <v>-1642.35</v>
      </c>
      <c r="H45" s="17" t="inlineStr">
        <is>
          <t>Low Profitability</t>
        </is>
      </c>
    </row>
    <row r="46">
      <c r="A46" s="18" t="inlineStr">
        <is>
          <t>1a5501d5596254ac7e154fe2b454570a4fd57502ff4d0e67e1b944430f82b365</t>
        </is>
      </c>
      <c r="B46" s="18" t="n">
        <v>0.0026</v>
      </c>
      <c r="C46" s="18" t="n">
        <v>0.5698</v>
      </c>
      <c r="D46" s="18" t="n">
        <v>77.84999999999999</v>
      </c>
      <c r="E46" s="18" t="n">
        <v>77.65000000000001</v>
      </c>
      <c r="F46" s="18" t="n">
        <v>5.89</v>
      </c>
      <c r="G46" s="18" t="n">
        <v>71.76000000000001</v>
      </c>
      <c r="H46" s="18" t="inlineStr">
        <is>
          <t>High Profitability</t>
        </is>
      </c>
    </row>
    <row r="47">
      <c r="A47" t="inlineStr">
        <is>
          <t>934cbbf3928cea06054f944fcd143a655736a13ebd6ae503bc236778072a2751</t>
        </is>
      </c>
      <c r="B47" t="n">
        <v>0.1488</v>
      </c>
      <c r="C47" t="n">
        <v>0.0379</v>
      </c>
      <c r="D47" t="n">
        <v>29.44</v>
      </c>
      <c r="E47" t="n">
        <v>25.06</v>
      </c>
      <c r="F47" t="n">
        <v>334.78</v>
      </c>
      <c r="G47" t="n">
        <v>-309.71</v>
      </c>
      <c r="H47" t="inlineStr">
        <is>
          <t>Medium Profitability</t>
        </is>
      </c>
    </row>
    <row r="48">
      <c r="A48" s="17" t="inlineStr">
        <is>
          <t>66330010c768b8dabaa77b01303958e8a810227a9d9117a32f7a26e41219900c</t>
        </is>
      </c>
      <c r="B48" s="17" t="n">
        <v>0.8406</v>
      </c>
      <c r="C48" s="17" t="n">
        <v>0.5462</v>
      </c>
      <c r="D48" s="17" t="n">
        <v>75.7</v>
      </c>
      <c r="E48" s="17" t="n">
        <v>12.07</v>
      </c>
      <c r="F48" s="17" t="n">
        <v>1891.32</v>
      </c>
      <c r="G48" s="17" t="n">
        <v>-1879.25</v>
      </c>
      <c r="H48" s="17" t="inlineStr">
        <is>
          <t>Low Profitability</t>
        </is>
      </c>
    </row>
    <row r="49">
      <c r="A49" s="17" t="inlineStr">
        <is>
          <t>7ffcfc646e8c62ad7e37b9e20e254efa4813f9b2feabccfdac559c704e76dba5</t>
        </is>
      </c>
      <c r="B49" s="17" t="n">
        <v>0.4124</v>
      </c>
      <c r="C49" s="17" t="n">
        <v>0.4608</v>
      </c>
      <c r="D49" s="17" t="n">
        <v>67.93000000000001</v>
      </c>
      <c r="E49" s="17" t="n">
        <v>39.92</v>
      </c>
      <c r="F49" s="17" t="n">
        <v>927.97</v>
      </c>
      <c r="G49" s="17" t="n">
        <v>-888.05</v>
      </c>
      <c r="H49" s="17" t="inlineStr">
        <is>
          <t>Low Profitability</t>
        </is>
      </c>
    </row>
    <row r="50">
      <c r="A50" s="17" t="inlineStr">
        <is>
          <t>ade335edb7b4d4269c524e2a071d3be9552752cefcff2211344fcc40b1ba1f12</t>
        </is>
      </c>
      <c r="B50" s="17" t="n">
        <v>0.949</v>
      </c>
      <c r="C50" s="17" t="n">
        <v>0.83</v>
      </c>
      <c r="D50" s="17" t="n">
        <v>101.53</v>
      </c>
      <c r="E50" s="17" t="n">
        <v>5.18</v>
      </c>
      <c r="F50" s="17" t="n">
        <v>2135.26</v>
      </c>
      <c r="G50" s="17" t="n">
        <v>-2130.09</v>
      </c>
      <c r="H50" s="17" t="inlineStr">
        <is>
          <t>Low Profitability</t>
        </is>
      </c>
    </row>
    <row r="51">
      <c r="A51" s="18" t="inlineStr">
        <is>
          <t>d3f33f5f3fdb10762ad24355c139ee1f99cfbe40c75eff8c6af7834c606e7709</t>
        </is>
      </c>
      <c r="B51" s="18" t="n">
        <v>0.0057</v>
      </c>
      <c r="C51" s="18" t="n">
        <v>0.4284</v>
      </c>
      <c r="D51" s="18" t="n">
        <v>64.98999999999999</v>
      </c>
      <c r="E51" s="18" t="n">
        <v>64.61</v>
      </c>
      <c r="F51" s="18" t="n">
        <v>12.83</v>
      </c>
      <c r="G51" s="18" t="n">
        <v>51.79</v>
      </c>
      <c r="H51" s="18" t="inlineStr">
        <is>
          <t>High Profitability</t>
        </is>
      </c>
    </row>
    <row r="52">
      <c r="A52" s="18" t="inlineStr">
        <is>
          <t>22eedeac506450c85d6a3923a428a56e33af5e0140abed58fdfe47b159bd13dc</t>
        </is>
      </c>
      <c r="B52" s="18" t="n">
        <v>0.0029</v>
      </c>
      <c r="C52" s="18" t="n">
        <v>0.1396</v>
      </c>
      <c r="D52" s="18" t="n">
        <v>38.71</v>
      </c>
      <c r="E52" s="18" t="n">
        <v>38.59</v>
      </c>
      <c r="F52" s="18" t="n">
        <v>6.6</v>
      </c>
      <c r="G52" s="18" t="n">
        <v>31.99</v>
      </c>
      <c r="H52" s="18" t="inlineStr">
        <is>
          <t>High Profitability</t>
        </is>
      </c>
    </row>
    <row r="53">
      <c r="A53" s="17" t="inlineStr">
        <is>
          <t>276491b03c5874200786ae4be1fc2ba0594c47b29b8f5baf432087f09c52b40b</t>
        </is>
      </c>
      <c r="B53" s="17" t="n">
        <v>0.9045</v>
      </c>
      <c r="C53" s="17" t="n">
        <v>0.9973</v>
      </c>
      <c r="D53" s="17" t="n">
        <v>116.75</v>
      </c>
      <c r="E53" s="17" t="n">
        <v>11.15</v>
      </c>
      <c r="F53" s="17" t="n">
        <v>2035.14</v>
      </c>
      <c r="G53" s="17" t="n">
        <v>-2023.99</v>
      </c>
      <c r="H53" s="17" t="inlineStr">
        <is>
          <t>Low Profitability</t>
        </is>
      </c>
    </row>
    <row r="54">
      <c r="A54" t="inlineStr">
        <is>
          <t>d379241ad161dc5a4a720d9d1cfc8d6afd8b2941d7d480645b37315318e7dd49</t>
        </is>
      </c>
      <c r="B54" t="n">
        <v>0.0919</v>
      </c>
      <c r="C54" t="n">
        <v>0.673</v>
      </c>
      <c r="D54" t="n">
        <v>87.25</v>
      </c>
      <c r="E54" t="n">
        <v>79.23</v>
      </c>
      <c r="F54" t="n">
        <v>206.81</v>
      </c>
      <c r="G54" t="n">
        <v>-127.58</v>
      </c>
      <c r="H54" t="inlineStr">
        <is>
          <t>Medium Profitability</t>
        </is>
      </c>
    </row>
    <row r="55">
      <c r="A55" t="inlineStr">
        <is>
          <t>9fc921c68cc1316d8a7914cf0662dee999fcc6c6e5b7c0c7096c43e38bc4fba4</t>
        </is>
      </c>
      <c r="B55" t="n">
        <v>0.1256</v>
      </c>
      <c r="C55" t="n">
        <v>0.8337</v>
      </c>
      <c r="D55" t="n">
        <v>101.87</v>
      </c>
      <c r="E55" t="n">
        <v>89.06999999999999</v>
      </c>
      <c r="F55" t="n">
        <v>282.54</v>
      </c>
      <c r="G55" t="n">
        <v>-193.46</v>
      </c>
      <c r="H55" t="inlineStr">
        <is>
          <t>Medium Profitability</t>
        </is>
      </c>
    </row>
    <row r="56">
      <c r="A56" s="17" t="inlineStr">
        <is>
          <t>7515e8b28e419a06c2083cc97524ae6e33b83aeaa4711be19210d680282c934a</t>
        </is>
      </c>
      <c r="B56" s="17" t="n">
        <v>0.9149</v>
      </c>
      <c r="C56" s="17" t="n">
        <v>0.9433</v>
      </c>
      <c r="D56" s="17" t="n">
        <v>111.84</v>
      </c>
      <c r="E56" s="17" t="n">
        <v>9.51</v>
      </c>
      <c r="F56" s="17" t="n">
        <v>2058.59</v>
      </c>
      <c r="G56" s="17" t="n">
        <v>-2049.07</v>
      </c>
      <c r="H56" s="17" t="inlineStr">
        <is>
          <t>Low Profitability</t>
        </is>
      </c>
    </row>
    <row r="57">
      <c r="A57" s="17" t="inlineStr">
        <is>
          <t>47a1e3aa4ca1eab4277db6f0961dc455ce642767946494e0581cf07f7aa0a765</t>
        </is>
      </c>
      <c r="B57" s="17" t="n">
        <v>0.9621</v>
      </c>
      <c r="C57" s="17" t="n">
        <v>0.643</v>
      </c>
      <c r="D57" s="17" t="n">
        <v>84.51000000000001</v>
      </c>
      <c r="E57" s="17" t="n">
        <v>3.2</v>
      </c>
      <c r="F57" s="17" t="n">
        <v>2164.73</v>
      </c>
      <c r="G57" s="17" t="n">
        <v>-2161.53</v>
      </c>
      <c r="H57" s="17" t="inlineStr">
        <is>
          <t>Low Profitability</t>
        </is>
      </c>
    </row>
    <row r="58">
      <c r="A58" t="inlineStr">
        <is>
          <t>52d210551b6883adc63d3dea93b160f99b06eee8933c5518d121d844093bde43</t>
        </is>
      </c>
      <c r="B58" t="n">
        <v>0.3036</v>
      </c>
      <c r="C58" t="n">
        <v>0.4457</v>
      </c>
      <c r="D58" t="n">
        <v>66.56</v>
      </c>
      <c r="E58" t="n">
        <v>46.35</v>
      </c>
      <c r="F58" t="n">
        <v>683.2</v>
      </c>
      <c r="G58" t="n">
        <v>-636.85</v>
      </c>
      <c r="H58" t="inlineStr">
        <is>
          <t>Medium Profitability</t>
        </is>
      </c>
    </row>
    <row r="59">
      <c r="A59" s="17" t="inlineStr">
        <is>
          <t>cd0f360e9dd8b810e5aa0b62b13b105e72549b2d57d56aaf4c32782eac5aec45</t>
        </is>
      </c>
      <c r="B59" s="17" t="n">
        <v>0.3937</v>
      </c>
      <c r="C59" s="17" t="n">
        <v>0.0987</v>
      </c>
      <c r="D59" s="17" t="n">
        <v>34.98</v>
      </c>
      <c r="E59" s="17" t="n">
        <v>21.21</v>
      </c>
      <c r="F59" s="17" t="n">
        <v>885.8</v>
      </c>
      <c r="G59" s="17" t="n">
        <v>-864.59</v>
      </c>
      <c r="H59" s="17" t="inlineStr">
        <is>
          <t>Low Profitability</t>
        </is>
      </c>
    </row>
    <row r="60">
      <c r="A60" t="inlineStr">
        <is>
          <t>134701b4a2f409ed7acbd4aca5ead34cb4535e3370d0f679fa62af9ed45d37fb</t>
        </is>
      </c>
      <c r="B60" t="n">
        <v>0.1154</v>
      </c>
      <c r="C60" t="n">
        <v>0.8090000000000001</v>
      </c>
      <c r="D60" t="n">
        <v>99.61</v>
      </c>
      <c r="E60" t="n">
        <v>88.12</v>
      </c>
      <c r="F60" t="n">
        <v>259.71</v>
      </c>
      <c r="G60" t="n">
        <v>-171.59</v>
      </c>
      <c r="H60" t="inlineStr">
        <is>
          <t>Medium Profitability</t>
        </is>
      </c>
    </row>
    <row r="61">
      <c r="A61" s="18" t="inlineStr">
        <is>
          <t>5709f4460397873471bf117531e3c734644bc2b62e24be7e452b2f1bcffc9e06</t>
        </is>
      </c>
      <c r="B61" s="18" t="n">
        <v>0.0024</v>
      </c>
      <c r="C61" s="18" t="n">
        <v>0.9273</v>
      </c>
      <c r="D61" s="18" t="n">
        <v>110.38</v>
      </c>
      <c r="E61" s="18" t="n">
        <v>110.12</v>
      </c>
      <c r="F61" s="18" t="n">
        <v>5.33</v>
      </c>
      <c r="G61" s="18" t="n">
        <v>104.79</v>
      </c>
      <c r="H61" s="18" t="inlineStr">
        <is>
          <t>High Profitability</t>
        </is>
      </c>
    </row>
    <row r="62">
      <c r="A62" s="17" t="inlineStr">
        <is>
          <t>6b4320c336e7151c92d1635207719dee7c22827751a1202de50ba42f26a46854</t>
        </is>
      </c>
      <c r="B62" s="17" t="n">
        <v>0.6237</v>
      </c>
      <c r="C62" s="17" t="n">
        <v>0.7366</v>
      </c>
      <c r="D62" s="17" t="n">
        <v>93.03</v>
      </c>
      <c r="E62" s="17" t="n">
        <v>35.01</v>
      </c>
      <c r="F62" s="17" t="n">
        <v>1403.29</v>
      </c>
      <c r="G62" s="17" t="n">
        <v>-1368.28</v>
      </c>
      <c r="H62" s="17" t="inlineStr">
        <is>
          <t>Low Profitability</t>
        </is>
      </c>
    </row>
    <row r="63">
      <c r="A63" s="18" t="inlineStr">
        <is>
          <t>4f6b0528334e329a0a0a9d50211f066218f21b20d9de8c419a2033522531e10e</t>
        </is>
      </c>
      <c r="B63" s="18" t="n">
        <v>0.0226</v>
      </c>
      <c r="C63" s="18" t="n">
        <v>0.1979</v>
      </c>
      <c r="D63" s="18" t="n">
        <v>44.01</v>
      </c>
      <c r="E63" s="18" t="n">
        <v>43.01</v>
      </c>
      <c r="F63" s="18" t="n">
        <v>50.92</v>
      </c>
      <c r="G63" s="18" t="n">
        <v>-7.91</v>
      </c>
      <c r="H63" s="18" t="inlineStr">
        <is>
          <t>High Profitability</t>
        </is>
      </c>
    </row>
    <row r="64">
      <c r="A64" s="17" t="inlineStr">
        <is>
          <t>04757c09747972db5160f883985480e013fb66a2be2bfd9cf2f487384961dc15</t>
        </is>
      </c>
      <c r="B64" s="17" t="n">
        <v>0.6138</v>
      </c>
      <c r="C64" s="17" t="n">
        <v>0.0859</v>
      </c>
      <c r="D64" s="17" t="n">
        <v>33.81</v>
      </c>
      <c r="E64" s="17" t="n">
        <v>13.06</v>
      </c>
      <c r="F64" s="17" t="n">
        <v>1380.94</v>
      </c>
      <c r="G64" s="17" t="n">
        <v>-1367.88</v>
      </c>
      <c r="H64" s="17" t="inlineStr">
        <is>
          <t>Low Profitability</t>
        </is>
      </c>
    </row>
    <row r="65">
      <c r="A65" t="inlineStr">
        <is>
          <t>20399cf20f2d8373cfb213b5828c9613c0497468a139e36d63bcec428bcb9fc6</t>
        </is>
      </c>
      <c r="B65" t="n">
        <v>0.1075</v>
      </c>
      <c r="C65" t="n">
        <v>0.8861</v>
      </c>
      <c r="D65" t="n">
        <v>106.63</v>
      </c>
      <c r="E65" t="n">
        <v>95.17</v>
      </c>
      <c r="F65" t="n">
        <v>241.88</v>
      </c>
      <c r="G65" t="n">
        <v>-146.71</v>
      </c>
      <c r="H65" t="inlineStr">
        <is>
          <t>Medium Profitability</t>
        </is>
      </c>
    </row>
    <row r="66">
      <c r="A66" t="inlineStr">
        <is>
          <t>c3e4ad0e890568141ceddb2623ecab1e1d62fead35d325bb5135ee97008629a4</t>
        </is>
      </c>
      <c r="B66" t="n">
        <v>0.09130000000000001</v>
      </c>
      <c r="C66" t="n">
        <v>0.6459</v>
      </c>
      <c r="D66" t="n">
        <v>84.78</v>
      </c>
      <c r="E66" t="n">
        <v>77.04000000000001</v>
      </c>
      <c r="F66" t="n">
        <v>205.42</v>
      </c>
      <c r="G66" t="n">
        <v>-128.38</v>
      </c>
      <c r="H66" t="inlineStr">
        <is>
          <t>Medium Profitability</t>
        </is>
      </c>
    </row>
    <row r="67">
      <c r="A67" s="17" t="inlineStr">
        <is>
          <t>3b515b599544062c847b2bfabda0b100ad3735a8805b4ac90178d314b0eae33d</t>
        </is>
      </c>
      <c r="B67" s="17" t="n">
        <v>0.5326</v>
      </c>
      <c r="C67" s="17" t="n">
        <v>0.6747</v>
      </c>
      <c r="D67" s="17" t="n">
        <v>87.40000000000001</v>
      </c>
      <c r="E67" s="17" t="n">
        <v>40.85</v>
      </c>
      <c r="F67" s="17" t="n">
        <v>1198.29</v>
      </c>
      <c r="G67" s="17" t="n">
        <v>-1157.43</v>
      </c>
      <c r="H67" s="17" t="inlineStr">
        <is>
          <t>Low Profitability</t>
        </is>
      </c>
    </row>
    <row r="68">
      <c r="A68" s="17" t="inlineStr">
        <is>
          <t>4a7e73b1e25e95c73fc63ded78ca4e4a46bdb8313c542c5ffef0399863d00282</t>
        </is>
      </c>
      <c r="B68" s="17" t="n">
        <v>0.8448</v>
      </c>
      <c r="C68" s="17" t="n">
        <v>0.2893</v>
      </c>
      <c r="D68" s="17" t="n">
        <v>52.33</v>
      </c>
      <c r="E68" s="17" t="n">
        <v>8.119999999999999</v>
      </c>
      <c r="F68" s="17" t="n">
        <v>1900.81</v>
      </c>
      <c r="G68" s="17" t="n">
        <v>-1892.69</v>
      </c>
      <c r="H68" s="17" t="inlineStr">
        <is>
          <t>Low Profitability</t>
        </is>
      </c>
    </row>
    <row r="69">
      <c r="A69" t="inlineStr">
        <is>
          <t>2d29e717582e059ad2374ae4c742483ee8b9469e36be9a9b2f35e09324cb0b3c</t>
        </is>
      </c>
      <c r="B69" t="n">
        <v>0.1066</v>
      </c>
      <c r="C69" t="n">
        <v>0.0042</v>
      </c>
      <c r="D69" t="n">
        <v>26.38</v>
      </c>
      <c r="E69" t="n">
        <v>23.57</v>
      </c>
      <c r="F69" t="n">
        <v>239.9</v>
      </c>
      <c r="G69" t="n">
        <v>-216.33</v>
      </c>
      <c r="H69" t="inlineStr">
        <is>
          <t>Medium Profitability</t>
        </is>
      </c>
    </row>
    <row r="70">
      <c r="A70" s="17" t="inlineStr">
        <is>
          <t>baf5dde535a1add8bee77c3b153b86ece31168befb452059ff700910d9046b41</t>
        </is>
      </c>
      <c r="B70" s="17" t="n">
        <v>0.6662</v>
      </c>
      <c r="C70" s="17" t="n">
        <v>0.7906</v>
      </c>
      <c r="D70" s="17" t="n">
        <v>97.95</v>
      </c>
      <c r="E70" s="17" t="n">
        <v>32.7</v>
      </c>
      <c r="F70" s="17" t="n">
        <v>1498.85</v>
      </c>
      <c r="G70" s="17" t="n">
        <v>-1466.15</v>
      </c>
      <c r="H70" s="17" t="inlineStr">
        <is>
          <t>Low Profitability</t>
        </is>
      </c>
    </row>
    <row r="71">
      <c r="A71" s="18" t="inlineStr">
        <is>
          <t>f271c62b17a0e67c5db1b32dcedcef96ccfb59ddd12912cf58ea2fce8841b899</t>
        </is>
      </c>
      <c r="B71" s="18" t="n">
        <v>0.0031</v>
      </c>
      <c r="C71" s="18" t="n">
        <v>0.0484</v>
      </c>
      <c r="D71" s="18" t="n">
        <v>30.4</v>
      </c>
      <c r="E71" s="18" t="n">
        <v>30.31</v>
      </c>
      <c r="F71" s="18" t="n">
        <v>6.86</v>
      </c>
      <c r="G71" s="18" t="n">
        <v>23.45</v>
      </c>
      <c r="H71" s="18" t="inlineStr">
        <is>
          <t>High Profitability</t>
        </is>
      </c>
    </row>
    <row r="72">
      <c r="A72" s="18" t="inlineStr">
        <is>
          <t>dad45e18081614b56f70c5c7e99c50c3843df95dabae3f43d59870f46c30ef37</t>
        </is>
      </c>
      <c r="B72" s="18" t="n">
        <v>0.0125</v>
      </c>
      <c r="C72" s="18" t="n">
        <v>0.0148</v>
      </c>
      <c r="D72" s="18" t="n">
        <v>27.35</v>
      </c>
      <c r="E72" s="18" t="n">
        <v>27</v>
      </c>
      <c r="F72" s="18" t="n">
        <v>28.15</v>
      </c>
      <c r="G72" s="18" t="n">
        <v>-1.15</v>
      </c>
      <c r="H72" s="18" t="inlineStr">
        <is>
          <t>High Profitability</t>
        </is>
      </c>
    </row>
    <row r="73">
      <c r="A73" s="18" t="inlineStr">
        <is>
          <t>d69701aba411cecab00c4421e7a41b71d10ed0137e3d99f834d94c81fab23a85</t>
        </is>
      </c>
      <c r="B73" s="18" t="n">
        <v>0.0012</v>
      </c>
      <c r="C73" s="18" t="n">
        <v>0.7401</v>
      </c>
      <c r="D73" s="18" t="n">
        <v>93.34999999999999</v>
      </c>
      <c r="E73" s="18" t="n">
        <v>93.23999999999999</v>
      </c>
      <c r="F73" s="18" t="n">
        <v>2.74</v>
      </c>
      <c r="G73" s="18" t="n">
        <v>90.5</v>
      </c>
      <c r="H73" s="18" t="inlineStr">
        <is>
          <t>High Profitability</t>
        </is>
      </c>
    </row>
    <row r="74">
      <c r="A74" s="18" t="inlineStr">
        <is>
          <t>d0edc8f3a0c2ca8b5778480e1e95e3137ab565da2c6047f1adfabe4e21a85c36</t>
        </is>
      </c>
      <c r="B74" s="18" t="n">
        <v>0.002</v>
      </c>
      <c r="C74" s="18" t="n">
        <v>0.2252</v>
      </c>
      <c r="D74" s="18" t="n">
        <v>46.49</v>
      </c>
      <c r="E74" s="18" t="n">
        <v>46.4</v>
      </c>
      <c r="F74" s="18" t="n">
        <v>4.48</v>
      </c>
      <c r="G74" s="18" t="n">
        <v>41.92</v>
      </c>
      <c r="H74" s="18" t="inlineStr">
        <is>
          <t>High Profitability</t>
        </is>
      </c>
    </row>
    <row r="75">
      <c r="A75" t="inlineStr">
        <is>
          <t>0b615d3953749172c96da825d1b77fc972cb3735e76c1a9eedee37a541686abf</t>
        </is>
      </c>
      <c r="B75" t="n">
        <v>0.0837</v>
      </c>
      <c r="C75" t="n">
        <v>0.1849</v>
      </c>
      <c r="D75" t="n">
        <v>42.83</v>
      </c>
      <c r="E75" t="n">
        <v>39.24</v>
      </c>
      <c r="F75" t="n">
        <v>188.24</v>
      </c>
      <c r="G75" t="n">
        <v>-149</v>
      </c>
      <c r="H75" t="inlineStr">
        <is>
          <t>Medium Profitability</t>
        </is>
      </c>
    </row>
    <row r="76">
      <c r="A76" s="18" t="inlineStr">
        <is>
          <t>4f4e8a823fed5bdd80c67f6fc37064689ac1adf40514b51114161c456aaacc49</t>
        </is>
      </c>
      <c r="B76" s="18" t="n">
        <v>0.0059</v>
      </c>
      <c r="C76" s="18" t="n">
        <v>0.5533</v>
      </c>
      <c r="D76" s="18" t="n">
        <v>76.34999999999999</v>
      </c>
      <c r="E76" s="18" t="n">
        <v>75.90000000000001</v>
      </c>
      <c r="F76" s="18" t="n">
        <v>13.31</v>
      </c>
      <c r="G76" s="18" t="n">
        <v>62.58</v>
      </c>
      <c r="H76" s="18" t="inlineStr">
        <is>
          <t>High Profitability</t>
        </is>
      </c>
    </row>
    <row r="77">
      <c r="A77" t="inlineStr">
        <is>
          <t>73ff0cbe6810d11f7dbf9913d44d6b15270d5b33344169983ac2907bada96ad6</t>
        </is>
      </c>
      <c r="B77" t="n">
        <v>0.1045</v>
      </c>
      <c r="C77" t="n">
        <v>0.5384</v>
      </c>
      <c r="D77" t="n">
        <v>74.98999999999999</v>
      </c>
      <c r="E77" t="n">
        <v>67.16</v>
      </c>
      <c r="F77" t="n">
        <v>235.13</v>
      </c>
      <c r="G77" t="n">
        <v>-167.98</v>
      </c>
      <c r="H77" t="inlineStr">
        <is>
          <t>Medium Profitability</t>
        </is>
      </c>
    </row>
    <row r="78">
      <c r="A78" s="17" t="inlineStr">
        <is>
          <t>1eca1ed42460b332818f3d7b283cfd14b9344ac7906d1c45b0f3673897acf8cd</t>
        </is>
      </c>
      <c r="B78" s="17" t="n">
        <v>0.9853</v>
      </c>
      <c r="C78" s="17" t="n">
        <v>0.9627</v>
      </c>
      <c r="D78" s="17" t="n">
        <v>113.6</v>
      </c>
      <c r="E78" s="17" t="n">
        <v>1.66</v>
      </c>
      <c r="F78" s="17" t="n">
        <v>2217.03</v>
      </c>
      <c r="G78" s="17" t="n">
        <v>-2215.37</v>
      </c>
      <c r="H78" s="17" t="inlineStr">
        <is>
          <t>Low Profitability</t>
        </is>
      </c>
    </row>
    <row r="79">
      <c r="A79" s="17" t="inlineStr">
        <is>
          <t>f917089d48ae441e0b9c93c89197f9d99e9ef8703e6c5bed25559967785b5c11</t>
        </is>
      </c>
      <c r="B79" s="17" t="n">
        <v>0.6277</v>
      </c>
      <c r="C79" s="17" t="n">
        <v>0.983</v>
      </c>
      <c r="D79" s="17" t="n">
        <v>115.45</v>
      </c>
      <c r="E79" s="17" t="n">
        <v>42.98</v>
      </c>
      <c r="F79" s="17" t="n">
        <v>1412.39</v>
      </c>
      <c r="G79" s="17" t="n">
        <v>-1369.41</v>
      </c>
      <c r="H79" s="17" t="inlineStr">
        <is>
          <t>Low Profitability</t>
        </is>
      </c>
    </row>
    <row r="80">
      <c r="A80" s="18" t="inlineStr">
        <is>
          <t>cf7b5ef6e546d9942b0fbb71518f5e869095be3f84da17e4775c377b7e569cbc</t>
        </is>
      </c>
      <c r="B80" s="18" t="n">
        <v>0.008</v>
      </c>
      <c r="C80" s="18" t="n">
        <v>0.2152</v>
      </c>
      <c r="D80" s="18" t="n">
        <v>45.58</v>
      </c>
      <c r="E80" s="18" t="n">
        <v>45.21</v>
      </c>
      <c r="F80" s="18" t="n">
        <v>17.98</v>
      </c>
      <c r="G80" s="18" t="n">
        <v>27.24</v>
      </c>
      <c r="H80" s="18" t="inlineStr">
        <is>
          <t>High Profitability</t>
        </is>
      </c>
    </row>
    <row r="81">
      <c r="A81" s="17" t="inlineStr">
        <is>
          <t>450278af0685de17b00fa4e73dd72b37cdef98fa09d016098385a3dd0fcec876</t>
        </is>
      </c>
      <c r="B81" s="17" t="n">
        <v>0.996</v>
      </c>
      <c r="C81" s="17" t="n">
        <v>0.6514</v>
      </c>
      <c r="D81" s="17" t="n">
        <v>85.27</v>
      </c>
      <c r="E81" s="17" t="n">
        <v>0.34</v>
      </c>
      <c r="F81" s="17" t="n">
        <v>2240.97</v>
      </c>
      <c r="G81" s="17" t="n">
        <v>-2240.63</v>
      </c>
      <c r="H81" s="17" t="inlineStr">
        <is>
          <t>Low Profitability</t>
        </is>
      </c>
    </row>
    <row r="82">
      <c r="A82" s="18" t="inlineStr">
        <is>
          <t>b7929d3667f7865d605a71e7d1d0724fa99159d7bea0e38c61c34a62d24ef9d7</t>
        </is>
      </c>
      <c r="B82" s="18" t="n">
        <v>0.0024</v>
      </c>
      <c r="C82" s="18" t="n">
        <v>0.7504999999999999</v>
      </c>
      <c r="D82" s="18" t="n">
        <v>94.3</v>
      </c>
      <c r="E82" s="18" t="n">
        <v>94.06999999999999</v>
      </c>
      <c r="F82" s="18" t="n">
        <v>5.37</v>
      </c>
      <c r="G82" s="18" t="n">
        <v>88.7</v>
      </c>
      <c r="H82" s="18" t="inlineStr">
        <is>
          <t>High Profitability</t>
        </is>
      </c>
    </row>
    <row r="83">
      <c r="A83" s="18" t="inlineStr">
        <is>
          <t>7a7372fde5c9c9594be01283140160f18a3dff638f212d9dd8d3114f2399ecd9</t>
        </is>
      </c>
      <c r="B83" s="18" t="n">
        <v>0.0018</v>
      </c>
      <c r="C83" s="18" t="n">
        <v>0.569</v>
      </c>
      <c r="D83" s="18" t="n">
        <v>77.78</v>
      </c>
      <c r="E83" s="18" t="n">
        <v>77.63</v>
      </c>
      <c r="F83" s="18" t="n">
        <v>4.08</v>
      </c>
      <c r="G83" s="18" t="n">
        <v>73.55</v>
      </c>
      <c r="H83" s="18" t="inlineStr">
        <is>
          <t>High Profitability</t>
        </is>
      </c>
    </row>
    <row r="84">
      <c r="A84" t="inlineStr">
        <is>
          <t>84475061771196954354e0ddbd4995b959c1af646331b71a752f8d2de7595f52</t>
        </is>
      </c>
      <c r="B84" t="n">
        <v>0.2054</v>
      </c>
      <c r="C84" t="n">
        <v>0.8324</v>
      </c>
      <c r="D84" t="n">
        <v>101.75</v>
      </c>
      <c r="E84" t="n">
        <v>80.84999999999999</v>
      </c>
      <c r="F84" t="n">
        <v>462.23</v>
      </c>
      <c r="G84" t="n">
        <v>-381.38</v>
      </c>
      <c r="H84" t="inlineStr">
        <is>
          <t>Medium Profitability</t>
        </is>
      </c>
    </row>
    <row r="85">
      <c r="A85" s="17" t="inlineStr">
        <is>
          <t>6e8b4b76a8011e35694e501b448ca08512305fc2fee939a36a32a5625a505862</t>
        </is>
      </c>
      <c r="B85" s="17" t="n">
        <v>0.9195</v>
      </c>
      <c r="C85" s="17" t="n">
        <v>0.7697000000000001</v>
      </c>
      <c r="D85" s="17" t="n">
        <v>96.05</v>
      </c>
      <c r="E85" s="17" t="n">
        <v>7.73</v>
      </c>
      <c r="F85" s="17" t="n">
        <v>2068.97</v>
      </c>
      <c r="G85" s="17" t="n">
        <v>-2061.24</v>
      </c>
      <c r="H85" s="17" t="inlineStr">
        <is>
          <t>Low Profitability</t>
        </is>
      </c>
    </row>
    <row r="86">
      <c r="A86" s="17" t="inlineStr">
        <is>
          <t>26d914e11599aab7503863b87c579cd691a5bdea4c333562f62cbcc788a5b361</t>
        </is>
      </c>
      <c r="B86" s="17" t="n">
        <v>0.5031</v>
      </c>
      <c r="C86" s="17" t="n">
        <v>0.8691</v>
      </c>
      <c r="D86" s="17" t="n">
        <v>105.09</v>
      </c>
      <c r="E86" s="17" t="n">
        <v>52.22</v>
      </c>
      <c r="F86" s="17" t="n">
        <v>1131.87</v>
      </c>
      <c r="G86" s="17" t="n">
        <v>-1079.65</v>
      </c>
      <c r="H86" s="17" t="inlineStr">
        <is>
          <t>Low Profitability</t>
        </is>
      </c>
    </row>
    <row r="87">
      <c r="A87" s="17" t="inlineStr">
        <is>
          <t>813d7bfd2a29769c8b1fde18b25765e647547001cad2c7936c7e96e80230b1de</t>
        </is>
      </c>
      <c r="B87" s="17" t="n">
        <v>0.9526</v>
      </c>
      <c r="C87" s="17" t="n">
        <v>0.7622</v>
      </c>
      <c r="D87" s="17" t="n">
        <v>95.36</v>
      </c>
      <c r="E87" s="17" t="n">
        <v>4.52</v>
      </c>
      <c r="F87" s="17" t="n">
        <v>2143.29</v>
      </c>
      <c r="G87" s="17" t="n">
        <v>-2138.77</v>
      </c>
      <c r="H87" s="17" t="inlineStr">
        <is>
          <t>Low Profitability</t>
        </is>
      </c>
    </row>
    <row r="88">
      <c r="A88" s="17" t="inlineStr">
        <is>
          <t>747e3702b761fe1da41cfb0b89cd2ba489333e345173b9019a5493eeaebfa734</t>
        </is>
      </c>
      <c r="B88" s="17" t="n">
        <v>0.3709</v>
      </c>
      <c r="C88" s="17" t="n">
        <v>0.6545</v>
      </c>
      <c r="D88" s="17" t="n">
        <v>85.55</v>
      </c>
      <c r="E88" s="17" t="n">
        <v>53.83</v>
      </c>
      <c r="F88" s="17" t="n">
        <v>834.4400000000001</v>
      </c>
      <c r="G88" s="17" t="n">
        <v>-780.62</v>
      </c>
      <c r="H88" s="17" t="inlineStr">
        <is>
          <t>Low Profitability</t>
        </is>
      </c>
    </row>
    <row r="89">
      <c r="A89" s="18" t="inlineStr">
        <is>
          <t>3e07aa9f46ee3ccc9053801aa78ee42b3e39b8c4c60e0794f7fa34b7acddd423</t>
        </is>
      </c>
      <c r="B89" s="18" t="n">
        <v>0.0012</v>
      </c>
      <c r="C89" s="18" t="n">
        <v>0.5755</v>
      </c>
      <c r="D89" s="18" t="n">
        <v>78.37</v>
      </c>
      <c r="E89" s="18" t="n">
        <v>78.27</v>
      </c>
      <c r="F89" s="18" t="n">
        <v>2.74</v>
      </c>
      <c r="G89" s="18" t="n">
        <v>75.53</v>
      </c>
      <c r="H89" s="18" t="inlineStr">
        <is>
          <t>High Profitability</t>
        </is>
      </c>
    </row>
    <row r="90">
      <c r="A90" t="inlineStr">
        <is>
          <t>c36fd3c19f43af45bcb57cfa6fa78d3c2273c30545de7cd04f2b9c125f0c65d9</t>
        </is>
      </c>
      <c r="B90" t="n">
        <v>0.0959</v>
      </c>
      <c r="C90" t="n">
        <v>0.0259</v>
      </c>
      <c r="D90" t="n">
        <v>28.36</v>
      </c>
      <c r="E90" t="n">
        <v>25.64</v>
      </c>
      <c r="F90" t="n">
        <v>215.77</v>
      </c>
      <c r="G90" t="n">
        <v>-190.13</v>
      </c>
      <c r="H90" t="inlineStr">
        <is>
          <t>Medium Profitability</t>
        </is>
      </c>
    </row>
    <row r="91">
      <c r="A91" s="17" t="inlineStr">
        <is>
          <t>228003d625e85d247c71d67599386dcf79b0e0a380a757c2059eecb9a5361098</t>
        </is>
      </c>
      <c r="B91" s="17" t="n">
        <v>0.8234</v>
      </c>
      <c r="C91" s="17" t="n">
        <v>0.3331</v>
      </c>
      <c r="D91" s="17" t="n">
        <v>56.31</v>
      </c>
      <c r="E91" s="17" t="n">
        <v>9.949999999999999</v>
      </c>
      <c r="F91" s="17" t="n">
        <v>1852.57</v>
      </c>
      <c r="G91" s="17" t="n">
        <v>-1842.63</v>
      </c>
      <c r="H91" s="17" t="inlineStr">
        <is>
          <t>Low Profitability</t>
        </is>
      </c>
    </row>
    <row r="92">
      <c r="A92" t="inlineStr">
        <is>
          <t>dededdd01f2d40bcc81bbfbc05529ff6fc23b52396ba8afacd1c51bbd7859902</t>
        </is>
      </c>
      <c r="B92" t="n">
        <v>0.0924</v>
      </c>
      <c r="C92" t="n">
        <v>0.6725</v>
      </c>
      <c r="D92" t="n">
        <v>87.2</v>
      </c>
      <c r="E92" t="n">
        <v>79.14</v>
      </c>
      <c r="F92" t="n">
        <v>207.89</v>
      </c>
      <c r="G92" t="n">
        <v>-128.75</v>
      </c>
      <c r="H92" t="inlineStr">
        <is>
          <t>Medium Profitability</t>
        </is>
      </c>
    </row>
    <row r="93">
      <c r="A93" s="17" t="inlineStr">
        <is>
          <t>0f0679bb80c6d8f1894faf1284c55de1895ca8b71438679f0172667f562f00ad</t>
        </is>
      </c>
      <c r="B93" s="17" t="n">
        <v>0.6871</v>
      </c>
      <c r="C93" s="17" t="n">
        <v>0.6526999999999999</v>
      </c>
      <c r="D93" s="17" t="n">
        <v>85.40000000000001</v>
      </c>
      <c r="E93" s="17" t="n">
        <v>26.72</v>
      </c>
      <c r="F93" s="17" t="n">
        <v>1546.03</v>
      </c>
      <c r="G93" s="17" t="n">
        <v>-1519.32</v>
      </c>
      <c r="H93" s="17" t="inlineStr">
        <is>
          <t>Low Profitability</t>
        </is>
      </c>
    </row>
    <row r="94">
      <c r="A94" t="inlineStr">
        <is>
          <t>cf5d89e9b89a87538bc96e7613e6a08691c18a731b62ba02203e101882971de7</t>
        </is>
      </c>
      <c r="B94" t="n">
        <v>0.1251</v>
      </c>
      <c r="C94" t="n">
        <v>0.866</v>
      </c>
      <c r="D94" t="n">
        <v>104.81</v>
      </c>
      <c r="E94" t="n">
        <v>91.7</v>
      </c>
      <c r="F94" t="n">
        <v>281.4</v>
      </c>
      <c r="G94" t="n">
        <v>-189.7</v>
      </c>
      <c r="H94" t="inlineStr">
        <is>
          <t>Medium Profitability</t>
        </is>
      </c>
    </row>
    <row r="95">
      <c r="A95" s="18" t="inlineStr">
        <is>
          <t>6040ae724e0ff52e907c4ce058a59fbd7c606e6351db625822024251b88cc16b</t>
        </is>
      </c>
      <c r="B95" s="18" t="n">
        <v>0.0022</v>
      </c>
      <c r="C95" s="18" t="n">
        <v>0.7983</v>
      </c>
      <c r="D95" s="18" t="n">
        <v>98.64</v>
      </c>
      <c r="E95" s="18" t="n">
        <v>98.42</v>
      </c>
      <c r="F95" s="18" t="n">
        <v>4.95</v>
      </c>
      <c r="G95" s="18" t="n">
        <v>93.47</v>
      </c>
      <c r="H95" s="18" t="inlineStr">
        <is>
          <t>High Profitability</t>
        </is>
      </c>
    </row>
    <row r="96">
      <c r="A96" s="17" t="inlineStr">
        <is>
          <t>1d9c62b810e1b30ba14ae36a5d84e83eebac9b7f998c6e1a6d552dcccb59a46d</t>
        </is>
      </c>
      <c r="B96" s="17" t="n">
        <v>0.5705</v>
      </c>
      <c r="C96" s="17" t="n">
        <v>0.2911</v>
      </c>
      <c r="D96" s="17" t="n">
        <v>52.49</v>
      </c>
      <c r="E96" s="17" t="n">
        <v>22.54</v>
      </c>
      <c r="F96" s="17" t="n">
        <v>1283.55</v>
      </c>
      <c r="G96" s="17" t="n">
        <v>-1261.01</v>
      </c>
      <c r="H96" s="17" t="inlineStr">
        <is>
          <t>Low Profitability</t>
        </is>
      </c>
    </row>
    <row r="97">
      <c r="A97" s="17" t="inlineStr">
        <is>
          <t>523dd43e283a5762088da3390ba52e1a7abfe8e688477f417e95612dc78cc8d9</t>
        </is>
      </c>
      <c r="B97" s="17" t="n">
        <v>0.539</v>
      </c>
      <c r="C97" s="17" t="n">
        <v>0.6007</v>
      </c>
      <c r="D97" s="17" t="n">
        <v>80.66</v>
      </c>
      <c r="E97" s="17" t="n">
        <v>37.18</v>
      </c>
      <c r="F97" s="17" t="n">
        <v>1212.84</v>
      </c>
      <c r="G97" s="17" t="n">
        <v>-1175.66</v>
      </c>
      <c r="H97" s="17" t="inlineStr">
        <is>
          <t>Low Profitability</t>
        </is>
      </c>
    </row>
    <row r="98">
      <c r="A98" s="18" t="inlineStr">
        <is>
          <t>dcc2e965c0d0380c6954095f4b0d033ed744c79670c4cff3efde36acd78d8f32</t>
        </is>
      </c>
      <c r="B98" s="18" t="n">
        <v>0.0064</v>
      </c>
      <c r="C98" s="18" t="n">
        <v>0.8898</v>
      </c>
      <c r="D98" s="18" t="n">
        <v>106.97</v>
      </c>
      <c r="E98" s="18" t="n">
        <v>106.29</v>
      </c>
      <c r="F98" s="18" t="n">
        <v>14.31</v>
      </c>
      <c r="G98" s="18" t="n">
        <v>91.98</v>
      </c>
      <c r="H98" s="18" t="inlineStr">
        <is>
          <t>High Profitability</t>
        </is>
      </c>
    </row>
    <row r="99">
      <c r="A99" s="17" t="inlineStr">
        <is>
          <t>bab19d7591e2e0ee25ddbabdcb9de12f9ad2080f5a0dfdbcc64ca692c4e5f00c</t>
        </is>
      </c>
      <c r="B99" s="17" t="n">
        <v>0.7876</v>
      </c>
      <c r="C99" s="17" t="n">
        <v>0.7534</v>
      </c>
      <c r="D99" s="17" t="n">
        <v>94.56</v>
      </c>
      <c r="E99" s="17" t="n">
        <v>20.08</v>
      </c>
      <c r="F99" s="17" t="n">
        <v>1772.19</v>
      </c>
      <c r="G99" s="17" t="n">
        <v>-1752.1</v>
      </c>
      <c r="H99" s="17" t="inlineStr">
        <is>
          <t>Low Profitability</t>
        </is>
      </c>
    </row>
    <row r="100">
      <c r="A100" s="18" t="inlineStr">
        <is>
          <t>1250ef219972ab7d6b0ac37ae28c4e3ac4b0f163c5b90f986c32acf8e9edb180</t>
        </is>
      </c>
      <c r="B100" s="18" t="n">
        <v>0.0117</v>
      </c>
      <c r="C100" s="18" t="n">
        <v>0.549</v>
      </c>
      <c r="D100" s="18" t="n">
        <v>75.95999999999999</v>
      </c>
      <c r="E100" s="18" t="n">
        <v>75.06999999999999</v>
      </c>
      <c r="F100" s="18" t="n">
        <v>26.4</v>
      </c>
      <c r="G100" s="18" t="n">
        <v>48.67</v>
      </c>
      <c r="H100" s="18" t="inlineStr">
        <is>
          <t>High Profitability</t>
        </is>
      </c>
    </row>
    <row r="101">
      <c r="A101" s="17" t="inlineStr">
        <is>
          <t>c806dea183f14dd1f9b1d2c265e426d1103b710a572fbd01a4d092d653985dd7</t>
        </is>
      </c>
      <c r="B101" s="17" t="n">
        <v>0.997</v>
      </c>
      <c r="C101" s="17" t="n">
        <v>0.2959</v>
      </c>
      <c r="D101" s="17" t="n">
        <v>52.92</v>
      </c>
      <c r="E101" s="17" t="n">
        <v>0.16</v>
      </c>
      <c r="F101" s="17" t="n">
        <v>2243.29</v>
      </c>
      <c r="G101" s="17" t="n">
        <v>-2243.13</v>
      </c>
      <c r="H101" s="17" t="inlineStr">
        <is>
          <t>Low Profitability</t>
        </is>
      </c>
    </row>
    <row r="102">
      <c r="A102" s="18" t="inlineStr">
        <is>
          <t>cec690165b329b2aeead7a70d40846587c1ffe76c8558bc80de8956619acd169</t>
        </is>
      </c>
      <c r="B102" s="18" t="n">
        <v>0.0017</v>
      </c>
      <c r="C102" s="18" t="n">
        <v>0.6735</v>
      </c>
      <c r="D102" s="18" t="n">
        <v>87.29000000000001</v>
      </c>
      <c r="E102" s="18" t="n">
        <v>87.14</v>
      </c>
      <c r="F102" s="18" t="n">
        <v>3.77</v>
      </c>
      <c r="G102" s="18" t="n">
        <v>83.37</v>
      </c>
      <c r="H102" s="18" t="inlineStr">
        <is>
          <t>High Profitability</t>
        </is>
      </c>
    </row>
    <row r="103">
      <c r="A103" s="18" t="inlineStr">
        <is>
          <t>baf422a35aa2924797ada712484737f4ffa919ebdad048edb1b77a99bc0f0d4b</t>
        </is>
      </c>
      <c r="B103" s="18" t="n">
        <v>0.0015</v>
      </c>
      <c r="C103" s="18" t="n">
        <v>0.6129</v>
      </c>
      <c r="D103" s="18" t="n">
        <v>81.77</v>
      </c>
      <c r="E103" s="18" t="n">
        <v>81.65000000000001</v>
      </c>
      <c r="F103" s="18" t="n">
        <v>3.34</v>
      </c>
      <c r="G103" s="18" t="n">
        <v>78.31</v>
      </c>
      <c r="H103" s="18" t="inlineStr">
        <is>
          <t>High Profitability</t>
        </is>
      </c>
    </row>
    <row r="104">
      <c r="A104" t="inlineStr">
        <is>
          <t>4aae8d5f72b8a796b9f82d56ee032dd2aabfb54e1d390779d5ee1c28c32d73b0</t>
        </is>
      </c>
      <c r="B104" t="n">
        <v>0.1486</v>
      </c>
      <c r="C104" t="n">
        <v>0.7751</v>
      </c>
      <c r="D104" t="n">
        <v>96.54000000000001</v>
      </c>
      <c r="E104" t="n">
        <v>82.19</v>
      </c>
      <c r="F104" t="n">
        <v>334.31</v>
      </c>
      <c r="G104" t="n">
        <v>-252.12</v>
      </c>
      <c r="H104" t="inlineStr">
        <is>
          <t>Medium Profitability</t>
        </is>
      </c>
    </row>
    <row r="105">
      <c r="A105" t="inlineStr">
        <is>
          <t>b457f21a9aebaec417f81332455e3bfe8a74d1ac2a582cc7f2de44ab35f5b8ff</t>
        </is>
      </c>
      <c r="B105" t="n">
        <v>0.2996</v>
      </c>
      <c r="C105" t="n">
        <v>0.7148</v>
      </c>
      <c r="D105" t="n">
        <v>91.05</v>
      </c>
      <c r="E105" t="n">
        <v>63.77</v>
      </c>
      <c r="F105" t="n">
        <v>674.08</v>
      </c>
      <c r="G105" t="n">
        <v>-610.3099999999999</v>
      </c>
      <c r="H105" t="inlineStr">
        <is>
          <t>Medium Profitability</t>
        </is>
      </c>
    </row>
    <row r="106">
      <c r="A106" s="17" t="inlineStr">
        <is>
          <t>cc912d089105e50a6097fb37fb21b57b9348c83061a51b77dc56f54f97a0179e</t>
        </is>
      </c>
      <c r="B106" s="17" t="n">
        <v>0.6712</v>
      </c>
      <c r="C106" s="17" t="n">
        <v>0.8283</v>
      </c>
      <c r="D106" s="17" t="n">
        <v>101.37</v>
      </c>
      <c r="E106" s="17" t="n">
        <v>33.33</v>
      </c>
      <c r="F106" s="17" t="n">
        <v>1510.25</v>
      </c>
      <c r="G106" s="17" t="n">
        <v>-1476.92</v>
      </c>
      <c r="H106" s="17" t="inlineStr">
        <is>
          <t>Low Profitability</t>
        </is>
      </c>
    </row>
    <row r="107">
      <c r="A107" s="17" t="inlineStr">
        <is>
          <t>53b0a0e96cb01b9e02984f752112cd03d468351e2531536788465e488d48068f</t>
        </is>
      </c>
      <c r="B107" s="17" t="n">
        <v>0.9794</v>
      </c>
      <c r="C107" s="17" t="n">
        <v>0.5243</v>
      </c>
      <c r="D107" s="17" t="n">
        <v>73.70999999999999</v>
      </c>
      <c r="E107" s="17" t="n">
        <v>1.52</v>
      </c>
      <c r="F107" s="17" t="n">
        <v>2203.54</v>
      </c>
      <c r="G107" s="17" t="n">
        <v>-2202.02</v>
      </c>
      <c r="H107" s="17" t="inlineStr">
        <is>
          <t>Low Profitability</t>
        </is>
      </c>
    </row>
    <row r="108">
      <c r="A108" t="inlineStr">
        <is>
          <t>9d00d1eeab2f9ec2bb1d9957468bb9594f7462769d5277aaa863f14d7446a6f2</t>
        </is>
      </c>
      <c r="B108" t="n">
        <v>0.1521</v>
      </c>
      <c r="C108" t="n">
        <v>0.0857</v>
      </c>
      <c r="D108" t="n">
        <v>33.8</v>
      </c>
      <c r="E108" t="n">
        <v>28.66</v>
      </c>
      <c r="F108" t="n">
        <v>342.29</v>
      </c>
      <c r="G108" t="n">
        <v>-313.63</v>
      </c>
      <c r="H108" t="inlineStr">
        <is>
          <t>Medium Profitability</t>
        </is>
      </c>
    </row>
    <row r="109">
      <c r="A109" s="17" t="inlineStr">
        <is>
          <t>3aa7b1ecb9fc2a734f19c57eba02c9d8b4272ee60f4dfe888dc00b0a05350ce2</t>
        </is>
      </c>
      <c r="B109" s="17" t="n">
        <v>0.9366</v>
      </c>
      <c r="C109" s="17" t="n">
        <v>0.0851</v>
      </c>
      <c r="D109" s="17" t="n">
        <v>33.75</v>
      </c>
      <c r="E109" s="17" t="n">
        <v>2.14</v>
      </c>
      <c r="F109" s="17" t="n">
        <v>2107.26</v>
      </c>
      <c r="G109" s="17" t="n">
        <v>-2105.12</v>
      </c>
      <c r="H109" s="17" t="inlineStr">
        <is>
          <t>Low Profitability</t>
        </is>
      </c>
    </row>
    <row r="110">
      <c r="A110" s="17" t="inlineStr">
        <is>
          <t>a0214d74a363cf5ce1d08f00202e1cf14805def2ee8c5a48566a2cdb09b8b714</t>
        </is>
      </c>
      <c r="B110" s="17" t="n">
        <v>0.4836</v>
      </c>
      <c r="C110" s="17" t="n">
        <v>0.8356</v>
      </c>
      <c r="D110" s="17" t="n">
        <v>102.04</v>
      </c>
      <c r="E110" s="17" t="n">
        <v>52.7</v>
      </c>
      <c r="F110" s="17" t="n">
        <v>1088.06</v>
      </c>
      <c r="G110" s="17" t="n">
        <v>-1035.37</v>
      </c>
      <c r="H110" s="17" t="inlineStr">
        <is>
          <t>Low Profitability</t>
        </is>
      </c>
    </row>
    <row r="111">
      <c r="A111" s="17" t="inlineStr">
        <is>
          <t>e91330577262e60b37d376837a913e878f48b2477ff6ba66f30ee72b57178c46</t>
        </is>
      </c>
      <c r="B111" s="17" t="n">
        <v>0.4193</v>
      </c>
      <c r="C111" s="17" t="n">
        <v>0.9618</v>
      </c>
      <c r="D111" s="17" t="n">
        <v>113.52</v>
      </c>
      <c r="E111" s="17" t="n">
        <v>65.92</v>
      </c>
      <c r="F111" s="17" t="n">
        <v>943.53</v>
      </c>
      <c r="G111" s="17" t="n">
        <v>-877.61</v>
      </c>
      <c r="H111" s="17" t="inlineStr">
        <is>
          <t>Low Profitability</t>
        </is>
      </c>
    </row>
    <row r="112">
      <c r="A112" s="17" t="inlineStr">
        <is>
          <t>16f35d31e440cbba86b7cc12fc1783662d38bcbdd3a85e165b39db8413c74413</t>
        </is>
      </c>
      <c r="B112" s="17" t="n">
        <v>0.9063</v>
      </c>
      <c r="C112" s="17" t="n">
        <v>0.4983</v>
      </c>
      <c r="D112" s="17" t="n">
        <v>71.34</v>
      </c>
      <c r="E112" s="17" t="n">
        <v>6.69</v>
      </c>
      <c r="F112" s="17" t="n">
        <v>2039.16</v>
      </c>
      <c r="G112" s="17" t="n">
        <v>-2032.47</v>
      </c>
      <c r="H112" s="17" t="inlineStr">
        <is>
          <t>Low Profitability</t>
        </is>
      </c>
    </row>
    <row r="113">
      <c r="A113" s="18" t="inlineStr">
        <is>
          <t>b43df15c201817a154252cfd89a150a20bfa35688f8e3a6d539a38e2cf71efa0</t>
        </is>
      </c>
      <c r="B113" s="18" t="n">
        <v>0.0027</v>
      </c>
      <c r="C113" s="18" t="n">
        <v>0.5818</v>
      </c>
      <c r="D113" s="18" t="n">
        <v>78.94</v>
      </c>
      <c r="E113" s="18" t="n">
        <v>78.73</v>
      </c>
      <c r="F113" s="18" t="n">
        <v>6.06</v>
      </c>
      <c r="G113" s="18" t="n">
        <v>72.67</v>
      </c>
      <c r="H113" s="18" t="inlineStr">
        <is>
          <t>High Profitability</t>
        </is>
      </c>
    </row>
    <row r="114">
      <c r="A114" t="inlineStr">
        <is>
          <t>ff8cc97b7847af2b5e69c2d1cea5adcdac288837619bacbeefa1fbbdeb9bff60</t>
        </is>
      </c>
      <c r="B114" t="n">
        <v>0.106</v>
      </c>
      <c r="C114" t="n">
        <v>0.1682</v>
      </c>
      <c r="D114" t="n">
        <v>41.3</v>
      </c>
      <c r="E114" t="n">
        <v>36.92</v>
      </c>
      <c r="F114" t="n">
        <v>238.57</v>
      </c>
      <c r="G114" t="n">
        <v>-201.65</v>
      </c>
      <c r="H114" t="inlineStr">
        <is>
          <t>Medium Profitability</t>
        </is>
      </c>
    </row>
    <row r="115">
      <c r="A115" t="inlineStr">
        <is>
          <t>cd771d25d551627c8adb3beeb9c7e5bea4f34d5ed1f168d45b1edf088aa15be7</t>
        </is>
      </c>
      <c r="B115" t="n">
        <v>0.2761</v>
      </c>
      <c r="C115" t="n">
        <v>0.6177</v>
      </c>
      <c r="D115" t="n">
        <v>82.20999999999999</v>
      </c>
      <c r="E115" t="n">
        <v>59.51</v>
      </c>
      <c r="F115" t="n">
        <v>621.29</v>
      </c>
      <c r="G115" t="n">
        <v>-561.79</v>
      </c>
      <c r="H115" t="inlineStr">
        <is>
          <t>Medium Profitability</t>
        </is>
      </c>
    </row>
    <row r="116">
      <c r="A116" s="17" t="inlineStr">
        <is>
          <t>42275c6a28318ddc9f28fcc170be697dd443a5e66017e2b98716fd903ba5d8c3</t>
        </is>
      </c>
      <c r="B116" s="17" t="n">
        <v>0.9519</v>
      </c>
      <c r="C116" s="17" t="n">
        <v>0.9013</v>
      </c>
      <c r="D116" s="17" t="n">
        <v>108.02</v>
      </c>
      <c r="E116" s="17" t="n">
        <v>5.19</v>
      </c>
      <c r="F116" s="17" t="n">
        <v>2141.87</v>
      </c>
      <c r="G116" s="17" t="n">
        <v>-2136.68</v>
      </c>
      <c r="H116" s="17" t="inlineStr">
        <is>
          <t>Low Profitability</t>
        </is>
      </c>
    </row>
    <row r="117">
      <c r="A117" s="17" t="inlineStr">
        <is>
          <t>0d01bbc1ee142d74ce5859fb59c4e1ed9f12d27d24e6b94c9fb6134d1b0df56f</t>
        </is>
      </c>
      <c r="B117" s="17" t="n">
        <v>0.9282</v>
      </c>
      <c r="C117" s="17" t="n">
        <v>0.5800999999999999</v>
      </c>
      <c r="D117" s="17" t="n">
        <v>78.79000000000001</v>
      </c>
      <c r="E117" s="17" t="n">
        <v>5.66</v>
      </c>
      <c r="F117" s="17" t="n">
        <v>2088.38</v>
      </c>
      <c r="G117" s="17" t="n">
        <v>-2082.72</v>
      </c>
      <c r="H117" s="17" t="inlineStr">
        <is>
          <t>Low Profitability</t>
        </is>
      </c>
    </row>
    <row r="118">
      <c r="A118" s="18" t="inlineStr">
        <is>
          <t>4407f9d0169e2127b581cc3518fa811661afab2ee0a1f92d3eac0f08ab418ece</t>
        </is>
      </c>
      <c r="B118" s="18" t="n">
        <v>0.0018</v>
      </c>
      <c r="C118" s="18" t="n">
        <v>0.7457</v>
      </c>
      <c r="D118" s="18" t="n">
        <v>93.86</v>
      </c>
      <c r="E118" s="18" t="n">
        <v>93.69</v>
      </c>
      <c r="F118" s="18" t="n">
        <v>4.11</v>
      </c>
      <c r="G118" s="18" t="n">
        <v>89.58</v>
      </c>
      <c r="H118" s="18" t="inlineStr">
        <is>
          <t>High Profitability</t>
        </is>
      </c>
    </row>
    <row r="119">
      <c r="A119" t="inlineStr">
        <is>
          <t>fa2d1d4452e9f661cc0d8730471665fd14524c0e6aef21a4b3bb53463597447d</t>
        </is>
      </c>
      <c r="B119" t="n">
        <v>0.1274</v>
      </c>
      <c r="C119" t="n">
        <v>0.376</v>
      </c>
      <c r="D119" t="n">
        <v>60.21</v>
      </c>
      <c r="E119" t="n">
        <v>52.54</v>
      </c>
      <c r="F119" t="n">
        <v>286.58</v>
      </c>
      <c r="G119" t="n">
        <v>-234.04</v>
      </c>
      <c r="H119" t="inlineStr">
        <is>
          <t>Medium Profitability</t>
        </is>
      </c>
    </row>
    <row r="120">
      <c r="A120" s="18" t="inlineStr">
        <is>
          <t>b49ab46ca20b13d1ce02228e01fb7961de76ce45fd741951718510017beff156</t>
        </is>
      </c>
      <c r="B120" s="18" t="n">
        <v>0.0028</v>
      </c>
      <c r="C120" s="18" t="n">
        <v>0.1766</v>
      </c>
      <c r="D120" s="18" t="n">
        <v>42.07</v>
      </c>
      <c r="E120" s="18" t="n">
        <v>41.96</v>
      </c>
      <c r="F120" s="18" t="n">
        <v>6.33</v>
      </c>
      <c r="G120" s="18" t="n">
        <v>35.62</v>
      </c>
      <c r="H120" s="18" t="inlineStr">
        <is>
          <t>High Profitability</t>
        </is>
      </c>
    </row>
    <row r="121">
      <c r="A121" t="inlineStr">
        <is>
          <t>e9c3871923f6949142147d0e3dfc476d6fb80c1548b9da7393f93b7e713bd945</t>
        </is>
      </c>
      <c r="B121" t="n">
        <v>0.2002</v>
      </c>
      <c r="C121" t="n">
        <v>0.881</v>
      </c>
      <c r="D121" t="n">
        <v>106.17</v>
      </c>
      <c r="E121" t="n">
        <v>84.92</v>
      </c>
      <c r="F121" t="n">
        <v>450.34</v>
      </c>
      <c r="G121" t="n">
        <v>-365.42</v>
      </c>
      <c r="H121" t="inlineStr">
        <is>
          <t>Medium Profitability</t>
        </is>
      </c>
    </row>
    <row r="122">
      <c r="A122" t="inlineStr">
        <is>
          <t>24b58349a4496522fb453c7fc54b782f8e4dbfd0ddede43ec1cceb4723f01771</t>
        </is>
      </c>
      <c r="B122" t="n">
        <v>0.1893</v>
      </c>
      <c r="C122" t="n">
        <v>0.1036</v>
      </c>
      <c r="D122" t="n">
        <v>35.43</v>
      </c>
      <c r="E122" t="n">
        <v>28.72</v>
      </c>
      <c r="F122" t="n">
        <v>426.03</v>
      </c>
      <c r="G122" t="n">
        <v>-397.31</v>
      </c>
      <c r="H122" t="inlineStr">
        <is>
          <t>Medium Profitability</t>
        </is>
      </c>
    </row>
    <row r="123">
      <c r="A123" s="18" t="inlineStr">
        <is>
          <t>d03ab266cf1e50eb85008ee66473761d4a38fd169d1f164cb8cf15c53e4f840b</t>
        </is>
      </c>
      <c r="B123" s="18" t="n">
        <v>0.0146</v>
      </c>
      <c r="C123" s="18" t="n">
        <v>0.6742</v>
      </c>
      <c r="D123" s="18" t="n">
        <v>87.36</v>
      </c>
      <c r="E123" s="18" t="n">
        <v>86.08</v>
      </c>
      <c r="F123" s="18" t="n">
        <v>32.92</v>
      </c>
      <c r="G123" s="18" t="n">
        <v>53.16</v>
      </c>
      <c r="H123" s="18" t="inlineStr">
        <is>
          <t>High Profitability</t>
        </is>
      </c>
    </row>
    <row r="124">
      <c r="A124" s="17" t="inlineStr">
        <is>
          <t>3f2c8b4f3e26c606d694525f0f704b2840cc3151b288617e55cca4e33ce6537e</t>
        </is>
      </c>
      <c r="B124" s="17" t="n">
        <v>0.7551</v>
      </c>
      <c r="C124" s="17" t="n">
        <v>0.7167</v>
      </c>
      <c r="D124" s="17" t="n">
        <v>91.22</v>
      </c>
      <c r="E124" s="17" t="n">
        <v>22.34</v>
      </c>
      <c r="F124" s="17" t="n">
        <v>1699.05</v>
      </c>
      <c r="G124" s="17" t="n">
        <v>-1676.71</v>
      </c>
      <c r="H124" s="17" t="inlineStr">
        <is>
          <t>Low Profitability</t>
        </is>
      </c>
    </row>
    <row r="125">
      <c r="A125" t="inlineStr">
        <is>
          <t>539729201156ac81f61da1f427c4ba5816c7541c3983947d9aafa8ddb96d7e66</t>
        </is>
      </c>
      <c r="B125" t="n">
        <v>0.2014</v>
      </c>
      <c r="C125" t="n">
        <v>0.8578</v>
      </c>
      <c r="D125" t="n">
        <v>104.06</v>
      </c>
      <c r="E125" t="n">
        <v>83.09999999999999</v>
      </c>
      <c r="F125" t="n">
        <v>453.16</v>
      </c>
      <c r="G125" t="n">
        <v>-370.05</v>
      </c>
      <c r="H125" t="inlineStr">
        <is>
          <t>Medium Profitability</t>
        </is>
      </c>
    </row>
    <row r="126">
      <c r="A126" t="inlineStr">
        <is>
          <t>df95ee0c3b79540f4a660747493b3c0099b6081c016b46434b539e94e5d5d354</t>
        </is>
      </c>
      <c r="B126" t="n">
        <v>0.1168</v>
      </c>
      <c r="C126" t="n">
        <v>0.3043</v>
      </c>
      <c r="D126" t="n">
        <v>53.69</v>
      </c>
      <c r="E126" t="n">
        <v>47.42</v>
      </c>
      <c r="F126" t="n">
        <v>262.84</v>
      </c>
      <c r="G126" t="n">
        <v>-215.42</v>
      </c>
      <c r="H126" t="inlineStr">
        <is>
          <t>Medium Profitability</t>
        </is>
      </c>
    </row>
    <row r="127">
      <c r="A127" t="inlineStr">
        <is>
          <t>c370b28584b1eac6320c2a5cc78557df765a9af59ade39defb49bcf41de4c546</t>
        </is>
      </c>
      <c r="B127" t="n">
        <v>0.1107</v>
      </c>
      <c r="C127" t="n">
        <v>0.4295</v>
      </c>
      <c r="D127" t="n">
        <v>65.08</v>
      </c>
      <c r="E127" t="n">
        <v>57.87</v>
      </c>
      <c r="F127" t="n">
        <v>249.17</v>
      </c>
      <c r="G127" t="n">
        <v>-191.29</v>
      </c>
      <c r="H127" t="inlineStr">
        <is>
          <t>Medium Profitability</t>
        </is>
      </c>
    </row>
    <row r="128">
      <c r="A128" s="18" t="inlineStr">
        <is>
          <t>0eafe244f41760ade9944b02a1f5f9ae216f4a311733e17fa07a695c298e2e23</t>
        </is>
      </c>
      <c r="B128" s="18" t="n">
        <v>0.0041</v>
      </c>
      <c r="C128" s="18" t="n">
        <v>0.3887</v>
      </c>
      <c r="D128" s="18" t="n">
        <v>61.38</v>
      </c>
      <c r="E128" s="18" t="n">
        <v>61.12</v>
      </c>
      <c r="F128" s="18" t="n">
        <v>9.33</v>
      </c>
      <c r="G128" s="18" t="n">
        <v>51.79</v>
      </c>
      <c r="H128" s="18" t="inlineStr">
        <is>
          <t>High Profitability</t>
        </is>
      </c>
    </row>
    <row r="129">
      <c r="A129" s="17" t="inlineStr">
        <is>
          <t>535a3f0e0cdfdae31a402f3a3535deace5cdfe3ba248fc55576a57a7a3365418</t>
        </is>
      </c>
      <c r="B129" s="17" t="n">
        <v>0.582</v>
      </c>
      <c r="C129" s="17" t="n">
        <v>0.3649</v>
      </c>
      <c r="D129" s="17" t="n">
        <v>59.21</v>
      </c>
      <c r="E129" s="17" t="n">
        <v>24.75</v>
      </c>
      <c r="F129" s="17" t="n">
        <v>1309.55</v>
      </c>
      <c r="G129" s="17" t="n">
        <v>-1284.8</v>
      </c>
      <c r="H129" s="17" t="inlineStr">
        <is>
          <t>Low Profitability</t>
        </is>
      </c>
    </row>
    <row r="130">
      <c r="A130" s="18" t="inlineStr">
        <is>
          <t>9ef35a4e1897fb6f149bb4729cea32fc7eed8934536d0dbed6a02782aef39c0c</t>
        </is>
      </c>
      <c r="B130" s="18" t="n">
        <v>0.0046</v>
      </c>
      <c r="C130" s="18" t="n">
        <v>0.8954</v>
      </c>
      <c r="D130" s="18" t="n">
        <v>107.48</v>
      </c>
      <c r="E130" s="18" t="n">
        <v>106.98</v>
      </c>
      <c r="F130" s="18" t="n">
        <v>10.44</v>
      </c>
      <c r="G130" s="18" t="n">
        <v>96.54000000000001</v>
      </c>
      <c r="H130" s="18" t="inlineStr">
        <is>
          <t>High Profitability</t>
        </is>
      </c>
    </row>
    <row r="131">
      <c r="A131" t="inlineStr">
        <is>
          <t>6973bdf8c8acb73b682139e46bc5fdc8ff451432383e6fbcfe7dcc1851192d69</t>
        </is>
      </c>
      <c r="B131" t="n">
        <v>0.1014</v>
      </c>
      <c r="C131" t="n">
        <v>0.0963</v>
      </c>
      <c r="D131" t="n">
        <v>34.77</v>
      </c>
      <c r="E131" t="n">
        <v>31.24</v>
      </c>
      <c r="F131" t="n">
        <v>228.2</v>
      </c>
      <c r="G131" t="n">
        <v>-196.96</v>
      </c>
      <c r="H131" t="inlineStr">
        <is>
          <t>Medium Profitability</t>
        </is>
      </c>
    </row>
    <row r="132">
      <c r="A132" t="inlineStr">
        <is>
          <t>43fbaa09444c518c9168f0ec660082dcef576e370a0b0e40ee8ab2ec92aa6513</t>
        </is>
      </c>
      <c r="B132" t="n">
        <v>0.09669999999999999</v>
      </c>
      <c r="C132" t="n">
        <v>0.3957</v>
      </c>
      <c r="D132" t="n">
        <v>62.01</v>
      </c>
      <c r="E132" t="n">
        <v>56.01</v>
      </c>
      <c r="F132" t="n">
        <v>217.47</v>
      </c>
      <c r="G132" t="n">
        <v>-161.46</v>
      </c>
      <c r="H132" t="inlineStr">
        <is>
          <t>Medium Profitability</t>
        </is>
      </c>
    </row>
    <row r="133">
      <c r="A133" t="inlineStr">
        <is>
          <t>8e74035df7b7b824ae7e15f3152379cf711c4bd2a539c1a1390d2eec121f0505</t>
        </is>
      </c>
      <c r="B133" t="n">
        <v>0.0885</v>
      </c>
      <c r="C133" t="n">
        <v>0.1535</v>
      </c>
      <c r="D133" t="n">
        <v>39.97</v>
      </c>
      <c r="E133" t="n">
        <v>36.43</v>
      </c>
      <c r="F133" t="n">
        <v>199.23</v>
      </c>
      <c r="G133" t="n">
        <v>-162.8</v>
      </c>
      <c r="H133" t="inlineStr">
        <is>
          <t>Medium Profitability</t>
        </is>
      </c>
    </row>
    <row r="134">
      <c r="A134" s="18" t="inlineStr">
        <is>
          <t>b4850bba3e29ca38e3f72533e4b1ff0a3cdf0ec156068e761504b0bf3d92670d</t>
        </is>
      </c>
      <c r="B134" s="18" t="n">
        <v>0.0163</v>
      </c>
      <c r="C134" s="18" t="n">
        <v>0.0277</v>
      </c>
      <c r="D134" s="18" t="n">
        <v>28.52</v>
      </c>
      <c r="E134" s="18" t="n">
        <v>28.06</v>
      </c>
      <c r="F134" s="18" t="n">
        <v>36.75</v>
      </c>
      <c r="G134" s="18" t="n">
        <v>-8.69</v>
      </c>
      <c r="H134" s="18" t="inlineStr">
        <is>
          <t>High Profitability</t>
        </is>
      </c>
    </row>
    <row r="135">
      <c r="A135" t="inlineStr">
        <is>
          <t>c20214cf12af1430749e447bac6330ee1a246b67863d982fe7458c8cbbcfcc35</t>
        </is>
      </c>
      <c r="B135" t="n">
        <v>0.0897</v>
      </c>
      <c r="C135" t="n">
        <v>0.1935</v>
      </c>
      <c r="D135" t="n">
        <v>43.61</v>
      </c>
      <c r="E135" t="n">
        <v>39.7</v>
      </c>
      <c r="F135" t="n">
        <v>201.76</v>
      </c>
      <c r="G135" t="n">
        <v>-162.06</v>
      </c>
      <c r="H135" t="inlineStr">
        <is>
          <t>Medium Profitability</t>
        </is>
      </c>
    </row>
    <row r="136">
      <c r="A136" s="18" t="inlineStr">
        <is>
          <t>4a14c15b08f366c8e83023f20ee76ea84f3ac5cd789567ac6c550eadaf7f2812</t>
        </is>
      </c>
      <c r="B136" s="18" t="n">
        <v>0.0036</v>
      </c>
      <c r="C136" s="18" t="n">
        <v>0.5115</v>
      </c>
      <c r="D136" s="18" t="n">
        <v>72.55</v>
      </c>
      <c r="E136" s="18" t="n">
        <v>72.29000000000001</v>
      </c>
      <c r="F136" s="18" t="n">
        <v>8.02</v>
      </c>
      <c r="G136" s="18" t="n">
        <v>64.26000000000001</v>
      </c>
      <c r="H136" s="18" t="inlineStr">
        <is>
          <t>High Profitability</t>
        </is>
      </c>
    </row>
    <row r="137">
      <c r="A137" s="17" t="inlineStr">
        <is>
          <t>fb8ecd5856db33e552f17cc1e52172b913be3b3bdc94a7e4f09396af0f87f953</t>
        </is>
      </c>
      <c r="B137" s="17" t="n">
        <v>0.5909</v>
      </c>
      <c r="C137" s="17" t="n">
        <v>0.3212</v>
      </c>
      <c r="D137" s="17" t="n">
        <v>55.23</v>
      </c>
      <c r="E137" s="17" t="n">
        <v>22.6</v>
      </c>
      <c r="F137" s="17" t="n">
        <v>1329.46</v>
      </c>
      <c r="G137" s="17" t="n">
        <v>-1306.86</v>
      </c>
      <c r="H137" s="17" t="inlineStr">
        <is>
          <t>Low Profitability</t>
        </is>
      </c>
    </row>
    <row r="138">
      <c r="A138" s="18" t="inlineStr">
        <is>
          <t>a9c5e4f9362190a77bf5c894468e5bd2264f35a60d5b378a187a237d5818ae37</t>
        </is>
      </c>
      <c r="B138" s="18" t="n">
        <v>0.0029</v>
      </c>
      <c r="C138" s="18" t="n">
        <v>0.1685</v>
      </c>
      <c r="D138" s="18" t="n">
        <v>41.33</v>
      </c>
      <c r="E138" s="18" t="n">
        <v>41.21</v>
      </c>
      <c r="F138" s="18" t="n">
        <v>6.57</v>
      </c>
      <c r="G138" s="18" t="n">
        <v>34.65</v>
      </c>
      <c r="H138" s="18" t="inlineStr">
        <is>
          <t>High Profitability</t>
        </is>
      </c>
    </row>
    <row r="139">
      <c r="A139" s="17" t="inlineStr">
        <is>
          <t>14d4514341da7f97023cef1205d7e4a298dd84f741ad6326767c1e24def61ffc</t>
        </is>
      </c>
      <c r="B139" s="17" t="n">
        <v>0.9488</v>
      </c>
      <c r="C139" s="17" t="n">
        <v>0.5024</v>
      </c>
      <c r="D139" s="17" t="n">
        <v>71.72</v>
      </c>
      <c r="E139" s="17" t="n">
        <v>3.67</v>
      </c>
      <c r="F139" s="17" t="n">
        <v>2134.72</v>
      </c>
      <c r="G139" s="17" t="n">
        <v>-2131.04</v>
      </c>
      <c r="H139" s="17" t="inlineStr">
        <is>
          <t>Low Profitability</t>
        </is>
      </c>
    </row>
    <row r="140">
      <c r="A140" t="inlineStr">
        <is>
          <t>f56d867aba77f11ba309d6c25ecb3c1f9209d515e09393ab54bd7df2780ecdea</t>
        </is>
      </c>
      <c r="B140" t="n">
        <v>0.1856</v>
      </c>
      <c r="C140" t="n">
        <v>0.6823</v>
      </c>
      <c r="D140" t="n">
        <v>88.09</v>
      </c>
      <c r="E140" t="n">
        <v>71.73</v>
      </c>
      <c r="F140" t="n">
        <v>417.64</v>
      </c>
      <c r="G140" t="n">
        <v>-345.9</v>
      </c>
      <c r="H140" t="inlineStr">
        <is>
          <t>Medium Profitability</t>
        </is>
      </c>
    </row>
    <row r="141">
      <c r="A141" s="17" t="inlineStr">
        <is>
          <t>17947f74a82bc5c8a42747abc0b6ad0ece83ef1b6d505234392e4ef5d8e9695c</t>
        </is>
      </c>
      <c r="B141" s="17" t="n">
        <v>0.7837</v>
      </c>
      <c r="C141" s="17" t="n">
        <v>0.988</v>
      </c>
      <c r="D141" s="17" t="n">
        <v>115.9</v>
      </c>
      <c r="E141" s="17" t="n">
        <v>25.07</v>
      </c>
      <c r="F141" s="17" t="n">
        <v>1763.38</v>
      </c>
      <c r="G141" s="17" t="n">
        <v>-1738.32</v>
      </c>
      <c r="H141" s="17" t="inlineStr">
        <is>
          <t>Low Profitability</t>
        </is>
      </c>
    </row>
    <row r="142">
      <c r="A142" s="17" t="inlineStr">
        <is>
          <t>3ce8c8f728e0b50c6fbb99f0a1db5a6e9e17932259bedd1aa9a6304f4a2648ba</t>
        </is>
      </c>
      <c r="B142" s="17" t="n">
        <v>0.7307</v>
      </c>
      <c r="C142" s="17" t="n">
        <v>0.06710000000000001</v>
      </c>
      <c r="D142" s="17" t="n">
        <v>32.11</v>
      </c>
      <c r="E142" s="17" t="n">
        <v>8.65</v>
      </c>
      <c r="F142" s="17" t="n">
        <v>1644.05</v>
      </c>
      <c r="G142" s="17" t="n">
        <v>-1635.4</v>
      </c>
      <c r="H142" s="17" t="inlineStr">
        <is>
          <t>Low Profitability</t>
        </is>
      </c>
    </row>
    <row r="143">
      <c r="A143" s="17" t="inlineStr">
        <is>
          <t>6621163d80b2eff15f41e5e8390cae7b15cc5f15811a4c127792a2d97b01cac5</t>
        </is>
      </c>
      <c r="B143" s="17" t="n">
        <v>0.7543</v>
      </c>
      <c r="C143" s="17" t="n">
        <v>0.1318</v>
      </c>
      <c r="D143" s="17" t="n">
        <v>38</v>
      </c>
      <c r="E143" s="17" t="n">
        <v>9.34</v>
      </c>
      <c r="F143" s="17" t="n">
        <v>1697.1</v>
      </c>
      <c r="G143" s="17" t="n">
        <v>-1687.77</v>
      </c>
      <c r="H143" s="17" t="inlineStr">
        <is>
          <t>Low Profitability</t>
        </is>
      </c>
    </row>
    <row r="144">
      <c r="A144" t="inlineStr">
        <is>
          <t>824754d3727d016cbb77a963b968723dac3d5f5d603112997795631ee5c3ded6</t>
        </is>
      </c>
      <c r="B144" t="n">
        <v>0.1044</v>
      </c>
      <c r="C144" t="n">
        <v>0.1435</v>
      </c>
      <c r="D144" t="n">
        <v>39.06</v>
      </c>
      <c r="E144" t="n">
        <v>34.98</v>
      </c>
      <c r="F144" t="n">
        <v>234.99</v>
      </c>
      <c r="G144" t="n">
        <v>-200.01</v>
      </c>
      <c r="H144" t="inlineStr">
        <is>
          <t>Medium Profitability</t>
        </is>
      </c>
    </row>
    <row r="145">
      <c r="A145" s="17" t="inlineStr">
        <is>
          <t>63268c057c42bead1404203512c185a145602337480e9b0002f873f7c77416e8</t>
        </is>
      </c>
      <c r="B145" s="17" t="n">
        <v>0.9629</v>
      </c>
      <c r="C145" s="17" t="n">
        <v>0.0856</v>
      </c>
      <c r="D145" s="17" t="n">
        <v>33.79</v>
      </c>
      <c r="E145" s="17" t="n">
        <v>1.26</v>
      </c>
      <c r="F145" s="17" t="n">
        <v>2166.42</v>
      </c>
      <c r="G145" s="17" t="n">
        <v>-2165.16</v>
      </c>
      <c r="H145" s="17" t="inlineStr">
        <is>
          <t>Low Profitability</t>
        </is>
      </c>
    </row>
    <row r="146">
      <c r="A146" t="inlineStr">
        <is>
          <t>49518e42d9deb7250e2aa2e744f569cc3cdcdf487d07d0214e0fdc5bd401499c</t>
        </is>
      </c>
      <c r="B146" t="n">
        <v>0.1139</v>
      </c>
      <c r="C146" t="n">
        <v>0.2035</v>
      </c>
      <c r="D146" t="n">
        <v>44.52</v>
      </c>
      <c r="E146" t="n">
        <v>39.45</v>
      </c>
      <c r="F146" t="n">
        <v>256.33</v>
      </c>
      <c r="G146" t="n">
        <v>-216.89</v>
      </c>
      <c r="H146" t="inlineStr">
        <is>
          <t>Medium Profitability</t>
        </is>
      </c>
    </row>
    <row r="147">
      <c r="A147" s="18" t="inlineStr">
        <is>
          <t>a6aac4c2211a5839f28c878b5def8770a736e410c512808a8aa141589c4415d2</t>
        </is>
      </c>
      <c r="B147" s="18" t="n">
        <v>0.0075</v>
      </c>
      <c r="C147" s="18" t="n">
        <v>0.1787</v>
      </c>
      <c r="D147" s="18" t="n">
        <v>42.26</v>
      </c>
      <c r="E147" s="18" t="n">
        <v>41.95</v>
      </c>
      <c r="F147" s="18" t="n">
        <v>16.92</v>
      </c>
      <c r="G147" s="18" t="n">
        <v>25.02</v>
      </c>
      <c r="H147" s="18" t="inlineStr">
        <is>
          <t>High Profitability</t>
        </is>
      </c>
    </row>
    <row r="148">
      <c r="A148" t="inlineStr">
        <is>
          <t>a0358117496ad13e1b4940659df3442e9b964c5a59caecd552884f7d94393acd</t>
        </is>
      </c>
      <c r="B148" t="n">
        <v>0.09180000000000001</v>
      </c>
      <c r="C148" t="n">
        <v>0.4482</v>
      </c>
      <c r="D148" t="n">
        <v>66.79000000000001</v>
      </c>
      <c r="E148" t="n">
        <v>60.66</v>
      </c>
      <c r="F148" t="n">
        <v>206.47</v>
      </c>
      <c r="G148" t="n">
        <v>-145.82</v>
      </c>
      <c r="H148" t="inlineStr">
        <is>
          <t>Medium Profitability</t>
        </is>
      </c>
    </row>
    <row r="149">
      <c r="A149" s="18" t="inlineStr">
        <is>
          <t>f5f7a2e3ff9dfa3872396faea15e20b8c955fd12ba3f89f2dd99c18ae4634995</t>
        </is>
      </c>
      <c r="B149" s="18" t="n">
        <v>0.0042</v>
      </c>
      <c r="C149" s="18" t="n">
        <v>0.1111</v>
      </c>
      <c r="D149" s="18" t="n">
        <v>36.11</v>
      </c>
      <c r="E149" s="18" t="n">
        <v>35.96</v>
      </c>
      <c r="F149" s="18" t="n">
        <v>9.359999999999999</v>
      </c>
      <c r="G149" s="18" t="n">
        <v>26.6</v>
      </c>
      <c r="H149" s="18" t="inlineStr">
        <is>
          <t>High Profitability</t>
        </is>
      </c>
    </row>
    <row r="150">
      <c r="A150" s="18" t="inlineStr">
        <is>
          <t>c3232faef421f85af09d8c4dc5544d79c9e70c46ddd11e254ec1b14993b06d92</t>
        </is>
      </c>
      <c r="B150" s="18" t="n">
        <v>0.0026</v>
      </c>
      <c r="C150" s="18" t="n">
        <v>0.1955</v>
      </c>
      <c r="D150" s="18" t="n">
        <v>43.79</v>
      </c>
      <c r="E150" s="18" t="n">
        <v>43.68</v>
      </c>
      <c r="F150" s="18" t="n">
        <v>5.9</v>
      </c>
      <c r="G150" s="18" t="n">
        <v>37.77</v>
      </c>
      <c r="H150" s="18" t="inlineStr">
        <is>
          <t>High Profitability</t>
        </is>
      </c>
    </row>
    <row r="151">
      <c r="A151" s="17" t="inlineStr">
        <is>
          <t>b1b1f1db3d0f073813ce1f514609707a6de83fcc36a6c35bf98a1b2ed670d528</t>
        </is>
      </c>
      <c r="B151" s="17" t="n">
        <v>0.7739</v>
      </c>
      <c r="C151" s="17" t="n">
        <v>0.7689</v>
      </c>
      <c r="D151" s="17" t="n">
        <v>95.97</v>
      </c>
      <c r="E151" s="17" t="n">
        <v>21.7</v>
      </c>
      <c r="F151" s="17" t="n">
        <v>1741.18</v>
      </c>
      <c r="G151" s="17" t="n">
        <v>-1719.47</v>
      </c>
      <c r="H151" s="17" t="inlineStr">
        <is>
          <t>Low Profitability</t>
        </is>
      </c>
    </row>
    <row r="152">
      <c r="A152" s="17" t="inlineStr">
        <is>
          <t>90a1d0427df7cf5baadf9a5d61c2d2a54c629eca2f77a4aec674306a0635e488</t>
        </is>
      </c>
      <c r="B152" s="17" t="n">
        <v>0.7417</v>
      </c>
      <c r="C152" s="17" t="n">
        <v>0.6326000000000001</v>
      </c>
      <c r="D152" s="17" t="n">
        <v>83.56</v>
      </c>
      <c r="E152" s="17" t="n">
        <v>21.58</v>
      </c>
      <c r="F152" s="17" t="n">
        <v>1668.88</v>
      </c>
      <c r="G152" s="17" t="n">
        <v>-1647.3</v>
      </c>
      <c r="H152" s="17" t="inlineStr">
        <is>
          <t>Low Profitability</t>
        </is>
      </c>
    </row>
    <row r="153">
      <c r="A153" t="inlineStr">
        <is>
          <t>633c129be54fa05da81246495c382e2fbb49b0a6ff92b5b0e9a89b7e845bb2d0</t>
        </is>
      </c>
      <c r="B153" t="n">
        <v>0.09130000000000001</v>
      </c>
      <c r="C153" t="n">
        <v>0.2411</v>
      </c>
      <c r="D153" t="n">
        <v>47.94</v>
      </c>
      <c r="E153" t="n">
        <v>43.56</v>
      </c>
      <c r="F153" t="n">
        <v>205.38</v>
      </c>
      <c r="G153" t="n">
        <v>-161.82</v>
      </c>
      <c r="H153" t="inlineStr">
        <is>
          <t>Medium Profitability</t>
        </is>
      </c>
    </row>
    <row r="154">
      <c r="A154" t="inlineStr">
        <is>
          <t>5790a3fb223d04d832b14dac13cf13fb82e0a712240453db9f091f5888f67174</t>
        </is>
      </c>
      <c r="B154" t="n">
        <v>0.0798</v>
      </c>
      <c r="C154" t="n">
        <v>0.1372</v>
      </c>
      <c r="D154" t="n">
        <v>38.48</v>
      </c>
      <c r="E154" t="n">
        <v>35.41</v>
      </c>
      <c r="F154" t="n">
        <v>179.47</v>
      </c>
      <c r="G154" t="n">
        <v>-144.06</v>
      </c>
      <c r="H154" t="inlineStr">
        <is>
          <t>Medium Profitability</t>
        </is>
      </c>
    </row>
    <row r="155">
      <c r="A155" s="18" t="inlineStr">
        <is>
          <t>88b3a5187ff5663f3cf27f6c74a2fa5f700860e91255ca83b05a534c16e70fc3</t>
        </is>
      </c>
      <c r="B155" s="18" t="n">
        <v>0.0577</v>
      </c>
      <c r="C155" s="18" t="n">
        <v>0.5352</v>
      </c>
      <c r="D155" s="18" t="n">
        <v>74.7</v>
      </c>
      <c r="E155" s="18" t="n">
        <v>70.40000000000001</v>
      </c>
      <c r="F155" s="18" t="n">
        <v>129.72</v>
      </c>
      <c r="G155" s="18" t="n">
        <v>-59.33</v>
      </c>
      <c r="H155" s="18" t="inlineStr">
        <is>
          <t>High Profitability</t>
        </is>
      </c>
    </row>
    <row r="156">
      <c r="A156" s="18" t="inlineStr">
        <is>
          <t>08e06a9994827577f3aed1f3c2db5de9741473074dcdd4fec02c3c16064437df</t>
        </is>
      </c>
      <c r="B156" s="18" t="n">
        <v>0.0052</v>
      </c>
      <c r="C156" s="18" t="n">
        <v>0.1554</v>
      </c>
      <c r="D156" s="18" t="n">
        <v>40.14</v>
      </c>
      <c r="E156" s="18" t="n">
        <v>39.93</v>
      </c>
      <c r="F156" s="18" t="n">
        <v>11.74</v>
      </c>
      <c r="G156" s="18" t="n">
        <v>28.19</v>
      </c>
      <c r="H156" s="18" t="inlineStr">
        <is>
          <t>High Profitability</t>
        </is>
      </c>
    </row>
    <row r="157">
      <c r="A157" s="18" t="inlineStr">
        <is>
          <t>ba9ee394267023c7372fb32c1e97984fe7e7b39eac2cb76405e6fbf0ee0b70cf</t>
        </is>
      </c>
      <c r="B157" s="18" t="n">
        <v>0.0017</v>
      </c>
      <c r="C157" s="18" t="n">
        <v>0.7522</v>
      </c>
      <c r="D157" s="18" t="n">
        <v>94.45</v>
      </c>
      <c r="E157" s="18" t="n">
        <v>94.29000000000001</v>
      </c>
      <c r="F157" s="18" t="n">
        <v>3.75</v>
      </c>
      <c r="G157" s="18" t="n">
        <v>90.54000000000001</v>
      </c>
      <c r="H157" s="18" t="inlineStr">
        <is>
          <t>High Profitability</t>
        </is>
      </c>
    </row>
    <row r="158">
      <c r="A158" s="17" t="inlineStr">
        <is>
          <t>589b96e33bd3eba1c15149e7823b22a6cfc7bfbcd6f6133b524dafa87246ac2c</t>
        </is>
      </c>
      <c r="B158" s="17" t="n">
        <v>0.4781</v>
      </c>
      <c r="C158" s="17" t="n">
        <v>0.8873</v>
      </c>
      <c r="D158" s="17" t="n">
        <v>106.75</v>
      </c>
      <c r="E158" s="17" t="n">
        <v>55.71</v>
      </c>
      <c r="F158" s="17" t="n">
        <v>1075.78</v>
      </c>
      <c r="G158" s="17" t="n">
        <v>-1020.07</v>
      </c>
      <c r="H158" s="17" t="inlineStr">
        <is>
          <t>Low Profitability</t>
        </is>
      </c>
    </row>
    <row r="159">
      <c r="A159" t="inlineStr">
        <is>
          <t>a5fabbb3d8e1a09a78d7bd8e04c8869879817adb323340097ebfc2a37b6e27d2</t>
        </is>
      </c>
      <c r="B159" t="n">
        <v>0.2697</v>
      </c>
      <c r="C159" t="n">
        <v>0.07920000000000001</v>
      </c>
      <c r="D159" t="n">
        <v>33.21</v>
      </c>
      <c r="E159" t="n">
        <v>24.25</v>
      </c>
      <c r="F159" t="n">
        <v>606.84</v>
      </c>
      <c r="G159" t="n">
        <v>-582.59</v>
      </c>
      <c r="H159" t="inlineStr">
        <is>
          <t>Medium Profitability</t>
        </is>
      </c>
    </row>
    <row r="160">
      <c r="A160" s="17" t="inlineStr">
        <is>
          <t>12a6977c3bddea90f27fb2d772583435e9fef7fce8008c9f93da50da578d3f85</t>
        </is>
      </c>
      <c r="B160" s="17" t="n">
        <v>0.4071</v>
      </c>
      <c r="C160" s="17" t="n">
        <v>0.3502</v>
      </c>
      <c r="D160" s="17" t="n">
        <v>57.87</v>
      </c>
      <c r="E160" s="17" t="n">
        <v>34.31</v>
      </c>
      <c r="F160" s="17" t="n">
        <v>915.95</v>
      </c>
      <c r="G160" s="17" t="n">
        <v>-881.63</v>
      </c>
      <c r="H160" s="17" t="inlineStr">
        <is>
          <t>Low Profitability</t>
        </is>
      </c>
    </row>
    <row r="161">
      <c r="A161" s="18" t="inlineStr">
        <is>
          <t>069e015cd4c18a3ea8fc28832be3898838c61bc026dfd42d3660051d00d52a00</t>
        </is>
      </c>
      <c r="B161" s="18" t="n">
        <v>0.0045</v>
      </c>
      <c r="C161" s="18" t="n">
        <v>0.2657</v>
      </c>
      <c r="D161" s="18" t="n">
        <v>50.18</v>
      </c>
      <c r="E161" s="18" t="n">
        <v>49.95</v>
      </c>
      <c r="F161" s="18" t="n">
        <v>10.07</v>
      </c>
      <c r="G161" s="18" t="n">
        <v>39.88</v>
      </c>
      <c r="H161" s="18" t="inlineStr">
        <is>
          <t>High Profitability</t>
        </is>
      </c>
    </row>
    <row r="162">
      <c r="A162" t="inlineStr">
        <is>
          <t>9315accd079e4305a988d0ef816d0e76da496c1730148e485101e60d8d7f3877</t>
        </is>
      </c>
      <c r="B162" t="n">
        <v>0.0818</v>
      </c>
      <c r="C162" t="n">
        <v>0.269</v>
      </c>
      <c r="D162" t="n">
        <v>50.48</v>
      </c>
      <c r="E162" t="n">
        <v>46.35</v>
      </c>
      <c r="F162" t="n">
        <v>184.12</v>
      </c>
      <c r="G162" t="n">
        <v>-137.77</v>
      </c>
      <c r="H162" t="inlineStr">
        <is>
          <t>Medium Profitability</t>
        </is>
      </c>
    </row>
    <row r="163">
      <c r="A163" s="18" t="inlineStr">
        <is>
          <t>83b9e32f723b7ac34edcaea78dbf4b0e8a74498676ce8eb017530f23bbe3a335</t>
        </is>
      </c>
      <c r="B163" s="18" t="n">
        <v>0.0024</v>
      </c>
      <c r="C163" s="18" t="n">
        <v>0.0487</v>
      </c>
      <c r="D163" s="18" t="n">
        <v>30.43</v>
      </c>
      <c r="E163" s="18" t="n">
        <v>30.36</v>
      </c>
      <c r="F163" s="18" t="n">
        <v>5.31</v>
      </c>
      <c r="G163" s="18" t="n">
        <v>25.05</v>
      </c>
      <c r="H163" s="18" t="inlineStr">
        <is>
          <t>High Profitability</t>
        </is>
      </c>
    </row>
    <row r="164">
      <c r="A164" t="inlineStr">
        <is>
          <t>6f746c35e19e970e32c7bb13a1c843ae0cccfa93c9213cc86e078db46b8db5db</t>
        </is>
      </c>
      <c r="B164" t="n">
        <v>0.2133</v>
      </c>
      <c r="C164" t="n">
        <v>0.8569</v>
      </c>
      <c r="D164" t="n">
        <v>103.97</v>
      </c>
      <c r="E164" t="n">
        <v>81.79000000000001</v>
      </c>
      <c r="F164" t="n">
        <v>480.01</v>
      </c>
      <c r="G164" t="n">
        <v>-398.21</v>
      </c>
      <c r="H164" t="inlineStr">
        <is>
          <t>Medium Profitability</t>
        </is>
      </c>
    </row>
    <row r="165">
      <c r="A165" s="17" t="inlineStr">
        <is>
          <t>f0443c9bc5338ad3e3fe7b9bdee960c457fa5970929e7ec1d683739cc89984dc</t>
        </is>
      </c>
      <c r="B165" s="17" t="n">
        <v>0.9558</v>
      </c>
      <c r="C165" s="17" t="n">
        <v>0.5227000000000001</v>
      </c>
      <c r="D165" s="17" t="n">
        <v>73.56</v>
      </c>
      <c r="E165" s="17" t="n">
        <v>3.25</v>
      </c>
      <c r="F165" s="17" t="n">
        <v>2150.5</v>
      </c>
      <c r="G165" s="17" t="n">
        <v>-2147.25</v>
      </c>
      <c r="H165" s="17" t="inlineStr">
        <is>
          <t>Low Profitability</t>
        </is>
      </c>
    </row>
    <row r="166">
      <c r="A166" t="inlineStr">
        <is>
          <t>e12e6d83b3efc107c1e4498687b6b0c42ef62f8a7ebec818b314bec3b28cf4d0</t>
        </is>
      </c>
      <c r="B166" t="n">
        <v>0.09329999999999999</v>
      </c>
      <c r="C166" t="n">
        <v>0.8305</v>
      </c>
      <c r="D166" t="n">
        <v>101.58</v>
      </c>
      <c r="E166" t="n">
        <v>92.09999999999999</v>
      </c>
      <c r="F166" t="n">
        <v>209.94</v>
      </c>
      <c r="G166" t="n">
        <v>-117.84</v>
      </c>
      <c r="H166" t="inlineStr">
        <is>
          <t>Medium Profitability</t>
        </is>
      </c>
    </row>
    <row r="167">
      <c r="A167" s="17" t="inlineStr">
        <is>
          <t>692ccb5abf61198f27d5aea8799e02dee7aff524a05e9e1b8d31c4c29ab1b612</t>
        </is>
      </c>
      <c r="B167" s="17" t="n">
        <v>0.4582</v>
      </c>
      <c r="C167" s="17" t="n">
        <v>0.8215</v>
      </c>
      <c r="D167" s="17" t="n">
        <v>100.76</v>
      </c>
      <c r="E167" s="17" t="n">
        <v>54.59</v>
      </c>
      <c r="F167" s="17" t="n">
        <v>1031</v>
      </c>
      <c r="G167" s="17" t="n">
        <v>-976.42</v>
      </c>
      <c r="H167" s="17" t="inlineStr">
        <is>
          <t>Low Profitability</t>
        </is>
      </c>
    </row>
    <row r="168">
      <c r="A168" s="17" t="inlineStr">
        <is>
          <t>b2c447f491c234e381779a58b9004a88630953d394f445d846a4246c1928c6cd</t>
        </is>
      </c>
      <c r="B168" s="17" t="n">
        <v>0.9261</v>
      </c>
      <c r="C168" s="17" t="n">
        <v>0.697</v>
      </c>
      <c r="D168" s="17" t="n">
        <v>89.43000000000001</v>
      </c>
      <c r="E168" s="17" t="n">
        <v>6.61</v>
      </c>
      <c r="F168" s="17" t="n">
        <v>2083.79</v>
      </c>
      <c r="G168" s="17" t="n">
        <v>-2077.18</v>
      </c>
      <c r="H168" s="17" t="inlineStr">
        <is>
          <t>Low Profitability</t>
        </is>
      </c>
    </row>
    <row r="169">
      <c r="A169" s="17" t="inlineStr">
        <is>
          <t>de1ccd9dc3f5fcbc0c4cfbb2261c34afbc340e56740eb1c69e5ec0f51182ef67</t>
        </is>
      </c>
      <c r="B169" s="17" t="n">
        <v>0.8681</v>
      </c>
      <c r="C169" s="17" t="n">
        <v>0.4131</v>
      </c>
      <c r="D169" s="17" t="n">
        <v>63.6</v>
      </c>
      <c r="E169" s="17" t="n">
        <v>8.390000000000001</v>
      </c>
      <c r="F169" s="17" t="n">
        <v>1953.2</v>
      </c>
      <c r="G169" s="17" t="n">
        <v>-1944.81</v>
      </c>
      <c r="H169" s="17" t="inlineStr">
        <is>
          <t>Low Profitability</t>
        </is>
      </c>
    </row>
    <row r="170">
      <c r="A170" s="17" t="inlineStr">
        <is>
          <t>08e5a85e7bb86fdaa14529bf4020f0f33ba7008b3664aac4229e08c4f52224cb</t>
        </is>
      </c>
      <c r="B170" s="17" t="n">
        <v>0.711</v>
      </c>
      <c r="C170" s="17" t="n">
        <v>0.954</v>
      </c>
      <c r="D170" s="17" t="n">
        <v>112.81</v>
      </c>
      <c r="E170" s="17" t="n">
        <v>32.61</v>
      </c>
      <c r="F170" s="17" t="n">
        <v>1599.68</v>
      </c>
      <c r="G170" s="17" t="n">
        <v>-1567.07</v>
      </c>
      <c r="H170" s="17" t="inlineStr">
        <is>
          <t>Low Profitability</t>
        </is>
      </c>
    </row>
    <row r="171">
      <c r="A171" s="17" t="inlineStr">
        <is>
          <t>ee048542dcfc90ecbc025896c11341927cf84545925856a003bd3a0bfe35ede4</t>
        </is>
      </c>
      <c r="B171" s="17" t="n">
        <v>0.7064</v>
      </c>
      <c r="C171" s="17" t="n">
        <v>0.4486</v>
      </c>
      <c r="D171" s="17" t="n">
        <v>66.83</v>
      </c>
      <c r="E171" s="17" t="n">
        <v>19.62</v>
      </c>
      <c r="F171" s="17" t="n">
        <v>1589.41</v>
      </c>
      <c r="G171" s="17" t="n">
        <v>-1569.79</v>
      </c>
      <c r="H171" s="17" t="inlineStr">
        <is>
          <t>Low Profitability</t>
        </is>
      </c>
    </row>
    <row r="172">
      <c r="A172" s="17" t="inlineStr">
        <is>
          <t>352c94dd40dd85ff308d6b1af303a082aaa13042ec1bed99e61af3872b5d8730</t>
        </is>
      </c>
      <c r="B172" s="17" t="n">
        <v>0.8711</v>
      </c>
      <c r="C172" s="17" t="n">
        <v>0.4507</v>
      </c>
      <c r="D172" s="17" t="n">
        <v>67.01000000000001</v>
      </c>
      <c r="E172" s="17" t="n">
        <v>8.640000000000001</v>
      </c>
      <c r="F172" s="17" t="n">
        <v>1959.87</v>
      </c>
      <c r="G172" s="17" t="n">
        <v>-1951.23</v>
      </c>
      <c r="H172" s="17" t="inlineStr">
        <is>
          <t>Low Profitability</t>
        </is>
      </c>
    </row>
    <row r="173">
      <c r="A173" t="inlineStr">
        <is>
          <t>2d05e801a1de56fda92401b3d0f3aaf20e20acb2eecf3b858fce25b2cdc53aab</t>
        </is>
      </c>
      <c r="B173" t="n">
        <v>0.1009</v>
      </c>
      <c r="C173" t="n">
        <v>0.0285</v>
      </c>
      <c r="D173" t="n">
        <v>28.59</v>
      </c>
      <c r="E173" t="n">
        <v>25.71</v>
      </c>
      <c r="F173" t="n">
        <v>227.05</v>
      </c>
      <c r="G173" t="n">
        <v>-201.34</v>
      </c>
      <c r="H173" t="inlineStr">
        <is>
          <t>Medium Profitability</t>
        </is>
      </c>
    </row>
    <row r="174">
      <c r="A174" t="inlineStr">
        <is>
          <t>ae3968f991bcc7291eae7b6bdc365c428e1eb173afc69ff965985235cc105a40</t>
        </is>
      </c>
      <c r="B174" t="n">
        <v>0.1138</v>
      </c>
      <c r="C174" t="n">
        <v>0.6928</v>
      </c>
      <c r="D174" t="n">
        <v>89.04000000000001</v>
      </c>
      <c r="E174" t="n">
        <v>78.91</v>
      </c>
      <c r="F174" t="n">
        <v>256.08</v>
      </c>
      <c r="G174" t="n">
        <v>-177.17</v>
      </c>
      <c r="H174" t="inlineStr">
        <is>
          <t>Medium Profitability</t>
        </is>
      </c>
    </row>
    <row r="175">
      <c r="A175" s="17" t="inlineStr">
        <is>
          <t>7d001c7e52537a042248a31fea169eba5edbd836fa754613276f0f8c275046ec</t>
        </is>
      </c>
      <c r="B175" s="17" t="n">
        <v>0.735</v>
      </c>
      <c r="C175" s="17" t="n">
        <v>0.9432</v>
      </c>
      <c r="D175" s="17" t="n">
        <v>111.84</v>
      </c>
      <c r="E175" s="17" t="n">
        <v>29.63</v>
      </c>
      <c r="F175" s="17" t="n">
        <v>1653.85</v>
      </c>
      <c r="G175" s="17" t="n">
        <v>-1624.22</v>
      </c>
      <c r="H175" s="17" t="inlineStr">
        <is>
          <t>Low Profitability</t>
        </is>
      </c>
    </row>
    <row r="176">
      <c r="A176" s="17" t="inlineStr">
        <is>
          <t>18a9f2185ea7b32380f89e8f81b12284775483a406a57109664041963c023416</t>
        </is>
      </c>
      <c r="B176" s="17" t="n">
        <v>0.7831</v>
      </c>
      <c r="C176" s="17" t="n">
        <v>0.3093</v>
      </c>
      <c r="D176" s="17" t="n">
        <v>54.14</v>
      </c>
      <c r="E176" s="17" t="n">
        <v>11.74</v>
      </c>
      <c r="F176" s="17" t="n">
        <v>1762.05</v>
      </c>
      <c r="G176" s="17" t="n">
        <v>-1750.31</v>
      </c>
      <c r="H176" s="17" t="inlineStr">
        <is>
          <t>Low Profitability</t>
        </is>
      </c>
    </row>
    <row r="177">
      <c r="A177" s="18" t="inlineStr">
        <is>
          <t>694afc30316c731c35cd39368566a4cd1c4b8113c3df8b1e5a25b45318f48c5d</t>
        </is>
      </c>
      <c r="B177" s="18" t="n">
        <v>0.0013</v>
      </c>
      <c r="C177" s="18" t="n">
        <v>0.4105</v>
      </c>
      <c r="D177" s="18" t="n">
        <v>63.35</v>
      </c>
      <c r="E177" s="18" t="n">
        <v>63.27</v>
      </c>
      <c r="F177" s="18" t="n">
        <v>2.96</v>
      </c>
      <c r="G177" s="18" t="n">
        <v>60.31</v>
      </c>
      <c r="H177" s="18" t="inlineStr">
        <is>
          <t>High Profitability</t>
        </is>
      </c>
    </row>
    <row r="178">
      <c r="A178" s="17" t="inlineStr">
        <is>
          <t>c55c8b9ea57f4d2283f89f536ff7ac14a111ca88bd1907f2332ec2d3974955dc</t>
        </is>
      </c>
      <c r="B178" s="17" t="n">
        <v>0.9006</v>
      </c>
      <c r="C178" s="17" t="n">
        <v>0.3399</v>
      </c>
      <c r="D178" s="17" t="n">
        <v>56.93</v>
      </c>
      <c r="E178" s="17" t="n">
        <v>5.66</v>
      </c>
      <c r="F178" s="17" t="n">
        <v>2026.42</v>
      </c>
      <c r="G178" s="17" t="n">
        <v>-2020.77</v>
      </c>
      <c r="H178" s="17" t="inlineStr">
        <is>
          <t>Low Profitability</t>
        </is>
      </c>
    </row>
    <row r="179">
      <c r="A179" s="18" t="inlineStr">
        <is>
          <t>fdb97186bc80596b9612878ed96e1aac6bb854ca2e0b79042950c1e451c35f8b</t>
        </is>
      </c>
      <c r="B179" s="18" t="n">
        <v>0.0035</v>
      </c>
      <c r="C179" s="18" t="n">
        <v>0.6322</v>
      </c>
      <c r="D179" s="18" t="n">
        <v>83.53</v>
      </c>
      <c r="E179" s="18" t="n">
        <v>83.23999999999999</v>
      </c>
      <c r="F179" s="18" t="n">
        <v>7.82</v>
      </c>
      <c r="G179" s="18" t="n">
        <v>75.42</v>
      </c>
      <c r="H179" s="18" t="inlineStr">
        <is>
          <t>High Profitability</t>
        </is>
      </c>
    </row>
    <row r="180">
      <c r="A180" s="18" t="inlineStr">
        <is>
          <t>0c21991a66ba6012359cc6f1aa8f560ff4dace0d4ea55af920bb66c9029de02b</t>
        </is>
      </c>
      <c r="B180" s="18" t="n">
        <v>0.0049</v>
      </c>
      <c r="C180" s="18" t="n">
        <v>0.8493000000000001</v>
      </c>
      <c r="D180" s="18" t="n">
        <v>103.29</v>
      </c>
      <c r="E180" s="18" t="n">
        <v>102.78</v>
      </c>
      <c r="F180" s="18" t="n">
        <v>11.13</v>
      </c>
      <c r="G180" s="18" t="n">
        <v>91.65000000000001</v>
      </c>
      <c r="H180" s="18" t="inlineStr">
        <is>
          <t>High Profitability</t>
        </is>
      </c>
    </row>
    <row r="181">
      <c r="A181" t="inlineStr">
        <is>
          <t>be96040d17f59171b845aa1fbe0c0dd1b51aeeaf01a3a1a3018733c3530b08a9</t>
        </is>
      </c>
      <c r="B181" t="n">
        <v>0.1425</v>
      </c>
      <c r="C181" t="n">
        <v>0.2708</v>
      </c>
      <c r="D181" t="n">
        <v>50.64</v>
      </c>
      <c r="E181" t="n">
        <v>43.43</v>
      </c>
      <c r="F181" t="n">
        <v>320.54</v>
      </c>
      <c r="G181" t="n">
        <v>-277.12</v>
      </c>
      <c r="H181" t="inlineStr">
        <is>
          <t>Medium Profitability</t>
        </is>
      </c>
    </row>
    <row r="182">
      <c r="A182" s="18" t="inlineStr">
        <is>
          <t>6af80e491483f8a07cf86127f153ac56d4a10d3e1a7cba59b015d710821662db</t>
        </is>
      </c>
      <c r="B182" s="18" t="n">
        <v>0.0202</v>
      </c>
      <c r="C182" s="18" t="n">
        <v>0.2379</v>
      </c>
      <c r="D182" s="18" t="n">
        <v>47.65</v>
      </c>
      <c r="E182" s="18" t="n">
        <v>46.68</v>
      </c>
      <c r="F182" s="18" t="n">
        <v>45.49</v>
      </c>
      <c r="G182" s="18" t="n">
        <v>1.19</v>
      </c>
      <c r="H182" s="18" t="inlineStr">
        <is>
          <t>High Profitability</t>
        </is>
      </c>
    </row>
    <row r="183">
      <c r="A183" s="18" t="inlineStr">
        <is>
          <t>e6f43c35abbe55bb712e60c93602836ad7107d534607132660da89c9d6bf8fcc</t>
        </is>
      </c>
      <c r="B183" s="18" t="n">
        <v>0.0151</v>
      </c>
      <c r="C183" s="18" t="n">
        <v>0.7175</v>
      </c>
      <c r="D183" s="18" t="n">
        <v>91.29000000000001</v>
      </c>
      <c r="E183" s="18" t="n">
        <v>89.91</v>
      </c>
      <c r="F183" s="18" t="n">
        <v>34.04</v>
      </c>
      <c r="G183" s="18" t="n">
        <v>55.87</v>
      </c>
      <c r="H183" s="18" t="inlineStr">
        <is>
          <t>High Profitability</t>
        </is>
      </c>
    </row>
    <row r="184">
      <c r="A184" s="17" t="inlineStr">
        <is>
          <t>d5d917fd8c515526a0966d18b732792a72087fe5d1658bffc2a4d81233107f7f</t>
        </is>
      </c>
      <c r="B184" s="17" t="n">
        <v>0.9547</v>
      </c>
      <c r="C184" s="17" t="n">
        <v>0.491</v>
      </c>
      <c r="D184" s="17" t="n">
        <v>70.68000000000001</v>
      </c>
      <c r="E184" s="17" t="n">
        <v>3.2</v>
      </c>
      <c r="F184" s="17" t="n">
        <v>2148.01</v>
      </c>
      <c r="G184" s="17" t="n">
        <v>-2144.81</v>
      </c>
      <c r="H184" s="17" t="inlineStr">
        <is>
          <t>Low Profitability</t>
        </is>
      </c>
    </row>
    <row r="185">
      <c r="A185" s="17" t="inlineStr">
        <is>
          <t>47b474e7be5c4b431823f16ee6f05f7981d43f8bc22812fc4f9f8e8f57ca118a</t>
        </is>
      </c>
      <c r="B185" s="17" t="n">
        <v>0.8839</v>
      </c>
      <c r="C185" s="17" t="n">
        <v>0.9978</v>
      </c>
      <c r="D185" s="17" t="n">
        <v>116.8</v>
      </c>
      <c r="E185" s="17" t="n">
        <v>13.56</v>
      </c>
      <c r="F185" s="17" t="n">
        <v>1988.74</v>
      </c>
      <c r="G185" s="17" t="n">
        <v>-1975.18</v>
      </c>
      <c r="H185" s="17" t="inlineStr">
        <is>
          <t>Low Profitability</t>
        </is>
      </c>
    </row>
    <row r="186">
      <c r="A186" s="18" t="inlineStr">
        <is>
          <t>0f97e4a1a7a0d2dea16a6c85ce10f965761ab08375b5a0713158a4fa9d602809</t>
        </is>
      </c>
      <c r="B186" s="18" t="n">
        <v>0.003</v>
      </c>
      <c r="C186" s="18" t="n">
        <v>0.772</v>
      </c>
      <c r="D186" s="18" t="n">
        <v>96.25</v>
      </c>
      <c r="E186" s="18" t="n">
        <v>95.95999999999999</v>
      </c>
      <c r="F186" s="18" t="n">
        <v>6.76</v>
      </c>
      <c r="G186" s="18" t="n">
        <v>89.2</v>
      </c>
      <c r="H186" s="18" t="inlineStr">
        <is>
          <t>High Profitability</t>
        </is>
      </c>
    </row>
    <row r="187">
      <c r="A187" s="17" t="inlineStr">
        <is>
          <t>7bafaefc9cb925626796f8480b436e2937843bbdd60280ed7689eb828823871d</t>
        </is>
      </c>
      <c r="B187" s="17" t="n">
        <v>0.9252</v>
      </c>
      <c r="C187" s="17" t="n">
        <v>0.9534</v>
      </c>
      <c r="D187" s="17" t="n">
        <v>112.76</v>
      </c>
      <c r="E187" s="17" t="n">
        <v>8.44</v>
      </c>
      <c r="F187" s="17" t="n">
        <v>2081.67</v>
      </c>
      <c r="G187" s="17" t="n">
        <v>-2073.24</v>
      </c>
      <c r="H187" s="17" t="inlineStr">
        <is>
          <t>Low Profitability</t>
        </is>
      </c>
    </row>
    <row r="188">
      <c r="A188" s="18" t="inlineStr">
        <is>
          <t>b1afb58eebbe1c304799b4b51bb2f12a8dbfdbd1848a8daa20f5793cd998cbd9</t>
        </is>
      </c>
      <c r="B188" s="18" t="n">
        <v>0.0011</v>
      </c>
      <c r="C188" s="18" t="n">
        <v>0.0751</v>
      </c>
      <c r="D188" s="18" t="n">
        <v>32.83</v>
      </c>
      <c r="E188" s="18" t="n">
        <v>32.79</v>
      </c>
      <c r="F188" s="18" t="n">
        <v>2.51</v>
      </c>
      <c r="G188" s="18" t="n">
        <v>30.28</v>
      </c>
      <c r="H188" s="18" t="inlineStr">
        <is>
          <t>High Profitability</t>
        </is>
      </c>
    </row>
    <row r="189">
      <c r="A189" s="18" t="inlineStr">
        <is>
          <t>25d2c728e7fb2cb611c52587a6ac4f9a02228f6d310f78e99cc9f29b6ae19148</t>
        </is>
      </c>
      <c r="B189" s="18" t="n">
        <v>0.0095</v>
      </c>
      <c r="C189" s="18" t="n">
        <v>0.3964</v>
      </c>
      <c r="D189" s="18" t="n">
        <v>62.07</v>
      </c>
      <c r="E189" s="18" t="n">
        <v>61.48</v>
      </c>
      <c r="F189" s="18" t="n">
        <v>21.37</v>
      </c>
      <c r="G189" s="18" t="n">
        <v>40.12</v>
      </c>
      <c r="H189" s="18" t="inlineStr">
        <is>
          <t>High Profitability</t>
        </is>
      </c>
    </row>
    <row r="190">
      <c r="A190" s="17" t="inlineStr">
        <is>
          <t>b9c1baeea4461dac6f305030715f072796e6b0e67cea015bc395417dfe9e1828</t>
        </is>
      </c>
      <c r="B190" s="17" t="n">
        <v>0.3848</v>
      </c>
      <c r="C190" s="17" t="n">
        <v>0.3893</v>
      </c>
      <c r="D190" s="17" t="n">
        <v>61.43</v>
      </c>
      <c r="E190" s="17" t="n">
        <v>37.79</v>
      </c>
      <c r="F190" s="17" t="n">
        <v>865.8</v>
      </c>
      <c r="G190" s="17" t="n">
        <v>-828.01</v>
      </c>
      <c r="H190" s="17" t="inlineStr">
        <is>
          <t>Low Profitability</t>
        </is>
      </c>
    </row>
    <row r="191">
      <c r="A191" s="17" t="inlineStr">
        <is>
          <t>97d27afa48a6b8bb4a157aad940251b320b8b992811d5950ab1e0d8dd4a0172f</t>
        </is>
      </c>
      <c r="B191" s="17" t="n">
        <v>0.871</v>
      </c>
      <c r="C191" s="17" t="n">
        <v>0.3947</v>
      </c>
      <c r="D191" s="17" t="n">
        <v>61.92</v>
      </c>
      <c r="E191" s="17" t="n">
        <v>7.99</v>
      </c>
      <c r="F191" s="17" t="n">
        <v>1959.67</v>
      </c>
      <c r="G191" s="17" t="n">
        <v>-1951.68</v>
      </c>
      <c r="H191" s="17" t="inlineStr">
        <is>
          <t>Low Profitability</t>
        </is>
      </c>
    </row>
    <row r="192">
      <c r="A192" s="17" t="inlineStr">
        <is>
          <t>8384965841b3e356567c735d7d8d6ec0b8d2b9ddcc9c41262bb07bf3c2a3a19a</t>
        </is>
      </c>
      <c r="B192" s="17" t="n">
        <v>0.7091</v>
      </c>
      <c r="C192" s="17" t="n">
        <v>0.38</v>
      </c>
      <c r="D192" s="17" t="n">
        <v>60.58</v>
      </c>
      <c r="E192" s="17" t="n">
        <v>17.62</v>
      </c>
      <c r="F192" s="17" t="n">
        <v>1595.48</v>
      </c>
      <c r="G192" s="17" t="n">
        <v>-1577.86</v>
      </c>
      <c r="H192" s="17" t="inlineStr">
        <is>
          <t>Low Profitability</t>
        </is>
      </c>
    </row>
    <row r="193">
      <c r="A193" t="inlineStr">
        <is>
          <t>daf8715ccb5ccad99e536a04a00cc445ce6628a86f2db1e948c13a4625242ee7</t>
        </is>
      </c>
      <c r="B193" t="n">
        <v>0.095</v>
      </c>
      <c r="C193" t="n">
        <v>0.1941</v>
      </c>
      <c r="D193" t="n">
        <v>43.66</v>
      </c>
      <c r="E193" t="n">
        <v>39.51</v>
      </c>
      <c r="F193" t="n">
        <v>213.69</v>
      </c>
      <c r="G193" t="n">
        <v>-174.18</v>
      </c>
      <c r="H193" t="inlineStr">
        <is>
          <t>Medium Profitability</t>
        </is>
      </c>
    </row>
    <row r="194">
      <c r="A194" s="17" t="inlineStr">
        <is>
          <t>badbf18bab003f201f540bf496ed92be470d0337ebcf149f983debe1f9aa80f1</t>
        </is>
      </c>
      <c r="B194" s="17" t="n">
        <v>0.8411</v>
      </c>
      <c r="C194" s="17" t="n">
        <v>0.0895</v>
      </c>
      <c r="D194" s="17" t="n">
        <v>34.15</v>
      </c>
      <c r="E194" s="17" t="n">
        <v>5.43</v>
      </c>
      <c r="F194" s="17" t="n">
        <v>1892.52</v>
      </c>
      <c r="G194" s="17" t="n">
        <v>-1887.09</v>
      </c>
      <c r="H194" s="17" t="inlineStr">
        <is>
          <t>Low Profitability</t>
        </is>
      </c>
    </row>
    <row r="195">
      <c r="A195" s="18" t="inlineStr">
        <is>
          <t>94528a0c5a766e030fb55e4540883dd47da591101492c914864c34cc2c9648c7</t>
        </is>
      </c>
      <c r="B195" s="18" t="n">
        <v>0.003</v>
      </c>
      <c r="C195" s="18" t="n">
        <v>0.3569</v>
      </c>
      <c r="D195" s="18" t="n">
        <v>58.48</v>
      </c>
      <c r="E195" s="18" t="n">
        <v>58.3</v>
      </c>
      <c r="F195" s="18" t="n">
        <v>6.71</v>
      </c>
      <c r="G195" s="18" t="n">
        <v>51.6</v>
      </c>
      <c r="H195" s="18" t="inlineStr">
        <is>
          <t>High Profitability</t>
        </is>
      </c>
    </row>
    <row r="196">
      <c r="A196" s="18" t="inlineStr">
        <is>
          <t>f7a413162b8bf138f467a5cf4798b59c6c47d2528ccdd47f841712b628028d5e</t>
        </is>
      </c>
      <c r="B196" s="18" t="n">
        <v>0.013</v>
      </c>
      <c r="C196" s="18" t="n">
        <v>0.7092000000000001</v>
      </c>
      <c r="D196" s="18" t="n">
        <v>90.54000000000001</v>
      </c>
      <c r="E196" s="18" t="n">
        <v>89.36</v>
      </c>
      <c r="F196" s="18" t="n">
        <v>29.27</v>
      </c>
      <c r="G196" s="18" t="n">
        <v>60.09</v>
      </c>
      <c r="H196" s="18" t="inlineStr">
        <is>
          <t>High Profitability</t>
        </is>
      </c>
    </row>
    <row r="197">
      <c r="A197" s="17" t="inlineStr">
        <is>
          <t>2701455cb2c29d0c70732d3d3e93974855032dd5caa1f77302f85673ea8c419e</t>
        </is>
      </c>
      <c r="B197" s="17" t="n">
        <v>0.7206</v>
      </c>
      <c r="C197" s="17" t="n">
        <v>0.9407</v>
      </c>
      <c r="D197" s="17" t="n">
        <v>111.6</v>
      </c>
      <c r="E197" s="17" t="n">
        <v>31.18</v>
      </c>
      <c r="F197" s="17" t="n">
        <v>1621.39</v>
      </c>
      <c r="G197" s="17" t="n">
        <v>-1590.21</v>
      </c>
      <c r="H197" s="17" t="inlineStr">
        <is>
          <t>Low Profitability</t>
        </is>
      </c>
    </row>
    <row r="198">
      <c r="A198" s="18" t="inlineStr">
        <is>
          <t>9f9ba5efc4b9155a9502500d6a8a52203092600bb9805819e8e5b5d89ed2c444</t>
        </is>
      </c>
      <c r="B198" s="18" t="n">
        <v>0.0026</v>
      </c>
      <c r="C198" s="18" t="n">
        <v>0.734</v>
      </c>
      <c r="D198" s="18" t="n">
        <v>92.8</v>
      </c>
      <c r="E198" s="18" t="n">
        <v>92.56</v>
      </c>
      <c r="F198" s="18" t="n">
        <v>5.76</v>
      </c>
      <c r="G198" s="18" t="n">
        <v>86.8</v>
      </c>
      <c r="H198" s="18" t="inlineStr">
        <is>
          <t>High Profitability</t>
        </is>
      </c>
    </row>
    <row r="199">
      <c r="A199" t="inlineStr">
        <is>
          <t>ef4839950f290b1907c72ffe924e72171db10eb4b5bc54fb12a91498b0c36047</t>
        </is>
      </c>
      <c r="B199" t="n">
        <v>0.1586</v>
      </c>
      <c r="C199" t="n">
        <v>0.1135</v>
      </c>
      <c r="D199" t="n">
        <v>36.33</v>
      </c>
      <c r="E199" t="n">
        <v>30.56</v>
      </c>
      <c r="F199" t="n">
        <v>356.9</v>
      </c>
      <c r="G199" t="n">
        <v>-326.34</v>
      </c>
      <c r="H199" t="inlineStr">
        <is>
          <t>Medium Profitability</t>
        </is>
      </c>
    </row>
    <row r="200">
      <c r="A200" t="inlineStr">
        <is>
          <t>101b2f83220b65e31dc628ddcc1753bcb57e653c6883e72cb3f94898124f91f6</t>
        </is>
      </c>
      <c r="B200" t="n">
        <v>0.1175</v>
      </c>
      <c r="C200" t="n">
        <v>0.9355</v>
      </c>
      <c r="D200" t="n">
        <v>111.13</v>
      </c>
      <c r="E200" t="n">
        <v>98.06999999999999</v>
      </c>
      <c r="F200" t="n">
        <v>264.35</v>
      </c>
      <c r="G200" t="n">
        <v>-166.27</v>
      </c>
      <c r="H200" t="inlineStr">
        <is>
          <t>Medium Profitability</t>
        </is>
      </c>
    </row>
    <row r="201">
      <c r="A201" t="inlineStr">
        <is>
          <t>97d5229c2c124274240b0c5a91f3d41e7737fc5f9da2994c36cfe9defb62f50b</t>
        </is>
      </c>
      <c r="B201" t="n">
        <v>0.3047</v>
      </c>
      <c r="C201" t="n">
        <v>0.6857</v>
      </c>
      <c r="D201" t="n">
        <v>88.40000000000001</v>
      </c>
      <c r="E201" t="n">
        <v>61.46</v>
      </c>
      <c r="F201" t="n">
        <v>685.54</v>
      </c>
      <c r="G201" t="n">
        <v>-624.0700000000001</v>
      </c>
      <c r="H201" t="inlineStr">
        <is>
          <t>Medium Profitability</t>
        </is>
      </c>
    </row>
    <row r="202">
      <c r="A202" s="17" t="inlineStr">
        <is>
          <t>32e3a79d012c16b7128cf9200958c1718729e7976dc8b37fba03353194c59c2d</t>
        </is>
      </c>
      <c r="B202" s="17" t="n">
        <v>0.6482</v>
      </c>
      <c r="C202" s="17" t="n">
        <v>0.5116000000000001</v>
      </c>
      <c r="D202" s="17" t="n">
        <v>72.56</v>
      </c>
      <c r="E202" s="17" t="n">
        <v>25.53</v>
      </c>
      <c r="F202" s="17" t="n">
        <v>1458.35</v>
      </c>
      <c r="G202" s="17" t="n">
        <v>-1432.82</v>
      </c>
      <c r="H202" s="17" t="inlineStr">
        <is>
          <t>Low Profitability</t>
        </is>
      </c>
    </row>
    <row r="203">
      <c r="A203" s="17" t="inlineStr">
        <is>
          <t>ff834df0453bae145566d49352630649f782e5f4ec2a59ba941e2e05b192e2ea</t>
        </is>
      </c>
      <c r="B203" s="17" t="n">
        <v>0.7911</v>
      </c>
      <c r="C203" s="17" t="n">
        <v>0.5375</v>
      </c>
      <c r="D203" s="17" t="n">
        <v>74.91</v>
      </c>
      <c r="E203" s="17" t="n">
        <v>15.65</v>
      </c>
      <c r="F203" s="17" t="n">
        <v>1780.07</v>
      </c>
      <c r="G203" s="17" t="n">
        <v>-1764.42</v>
      </c>
      <c r="H203" s="17" t="inlineStr">
        <is>
          <t>Low Profitability</t>
        </is>
      </c>
    </row>
    <row r="204">
      <c r="A204" t="inlineStr">
        <is>
          <t>55ddbf45f6a29bc8e1483690e01d7db885b4b635bee8d11ec0acf7081b780621</t>
        </is>
      </c>
      <c r="B204" t="n">
        <v>0.1987</v>
      </c>
      <c r="C204" t="n">
        <v>0.6860000000000001</v>
      </c>
      <c r="D204" t="n">
        <v>88.43000000000001</v>
      </c>
      <c r="E204" t="n">
        <v>70.86</v>
      </c>
      <c r="F204" t="n">
        <v>447.11</v>
      </c>
      <c r="G204" t="n">
        <v>-376.26</v>
      </c>
      <c r="H204" t="inlineStr">
        <is>
          <t>Medium Profitability</t>
        </is>
      </c>
    </row>
    <row r="205">
      <c r="A205" t="inlineStr">
        <is>
          <t>35bb4e92bef8fabc0f5a361471b3142f6c78b55760c5890ad3f4de0f6872bfac</t>
        </is>
      </c>
      <c r="B205" t="n">
        <v>0.1198</v>
      </c>
      <c r="C205" t="n">
        <v>0.0407</v>
      </c>
      <c r="D205" t="n">
        <v>29.71</v>
      </c>
      <c r="E205" t="n">
        <v>26.15</v>
      </c>
      <c r="F205" t="n">
        <v>269.65</v>
      </c>
      <c r="G205" t="n">
        <v>-243.51</v>
      </c>
      <c r="H205" t="inlineStr">
        <is>
          <t>Medium Profitability</t>
        </is>
      </c>
    </row>
    <row r="206">
      <c r="A206" s="17" t="inlineStr">
        <is>
          <t>b26f7fa56fa9259559d04770c5c50d5eda5954326fbb697b83b4061363af70ae</t>
        </is>
      </c>
      <c r="B206" s="17" t="n">
        <v>0.4633</v>
      </c>
      <c r="C206" s="17" t="n">
        <v>0.4444</v>
      </c>
      <c r="D206" s="17" t="n">
        <v>66.44</v>
      </c>
      <c r="E206" s="17" t="n">
        <v>35.66</v>
      </c>
      <c r="F206" s="17" t="n">
        <v>1042.48</v>
      </c>
      <c r="G206" s="17" t="n">
        <v>-1006.82</v>
      </c>
      <c r="H206" s="17" t="inlineStr">
        <is>
          <t>Low Profitability</t>
        </is>
      </c>
    </row>
    <row r="207">
      <c r="A207" s="17" t="inlineStr">
        <is>
          <t>436571767bdecf44f2a2e328f3ab689de8240362cc3eb6dd8486e22328fc322e</t>
        </is>
      </c>
      <c r="B207" s="17" t="n">
        <v>0.903</v>
      </c>
      <c r="C207" s="17" t="n">
        <v>0.3041</v>
      </c>
      <c r="D207" s="17" t="n">
        <v>53.67</v>
      </c>
      <c r="E207" s="17" t="n">
        <v>5.21</v>
      </c>
      <c r="F207" s="17" t="n">
        <v>2031.69</v>
      </c>
      <c r="G207" s="17" t="n">
        <v>-2026.48</v>
      </c>
      <c r="H207" s="17" t="inlineStr">
        <is>
          <t>Low Profitability</t>
        </is>
      </c>
    </row>
    <row r="208">
      <c r="A208" s="17" t="inlineStr">
        <is>
          <t>7ebd013c86f085c23844403c6a079cb81a118685a7cbfa5b4786a953f2ed7b8a</t>
        </is>
      </c>
      <c r="B208" s="17" t="n">
        <v>0.7655999999999999</v>
      </c>
      <c r="C208" s="17" t="n">
        <v>0.6713</v>
      </c>
      <c r="D208" s="17" t="n">
        <v>87.09</v>
      </c>
      <c r="E208" s="17" t="n">
        <v>20.42</v>
      </c>
      <c r="F208" s="17" t="n">
        <v>1722.52</v>
      </c>
      <c r="G208" s="17" t="n">
        <v>-1702.1</v>
      </c>
      <c r="H208" s="17" t="inlineStr">
        <is>
          <t>Low Profitability</t>
        </is>
      </c>
    </row>
    <row r="209">
      <c r="A209" t="inlineStr">
        <is>
          <t>f7f89dd17cd1358dacd6810f570ad225ceeb5b5b0d3335cfc02a9cb9a8ee840e</t>
        </is>
      </c>
      <c r="B209" t="n">
        <v>0.1403</v>
      </c>
      <c r="C209" t="n">
        <v>0.1519</v>
      </c>
      <c r="D209" t="n">
        <v>39.82</v>
      </c>
      <c r="E209" t="n">
        <v>34.23</v>
      </c>
      <c r="F209" t="n">
        <v>315.61</v>
      </c>
      <c r="G209" t="n">
        <v>-281.38</v>
      </c>
      <c r="H209" t="inlineStr">
        <is>
          <t>Medium Profitability</t>
        </is>
      </c>
    </row>
    <row r="210">
      <c r="A210" s="18" t="inlineStr">
        <is>
          <t>b9d7fcb0f7e75668e88be6cde3800244c5ebe6a56dc4c3bb62d3b95523bcbb57</t>
        </is>
      </c>
      <c r="B210" s="18" t="n">
        <v>0.0795</v>
      </c>
      <c r="C210" s="18" t="n">
        <v>0.8418</v>
      </c>
      <c r="D210" s="18" t="n">
        <v>102.6</v>
      </c>
      <c r="E210" s="18" t="n">
        <v>94.45</v>
      </c>
      <c r="F210" s="18" t="n">
        <v>178.81</v>
      </c>
      <c r="G210" s="18" t="n">
        <v>-84.36</v>
      </c>
      <c r="H210" s="18" t="inlineStr">
        <is>
          <t>High Profitability</t>
        </is>
      </c>
    </row>
    <row r="211">
      <c r="A211" s="18" t="inlineStr">
        <is>
          <t>5a141246f4388ff40b7a8425c069f8813e1b9da67ca0fc35c8bc311a88e2be0c</t>
        </is>
      </c>
      <c r="B211" s="18" t="n">
        <v>0.0065</v>
      </c>
      <c r="C211" s="18" t="n">
        <v>0.1875</v>
      </c>
      <c r="D211" s="18" t="n">
        <v>43.06</v>
      </c>
      <c r="E211" s="18" t="n">
        <v>42.78</v>
      </c>
      <c r="F211" s="18" t="n">
        <v>14.64</v>
      </c>
      <c r="G211" s="18" t="n">
        <v>28.14</v>
      </c>
      <c r="H211" s="18" t="inlineStr">
        <is>
          <t>High Profitability</t>
        </is>
      </c>
    </row>
    <row r="212">
      <c r="A212" t="inlineStr">
        <is>
          <t>ddc9d2ad3a2c051eb033da37b4eb4991f4ad32a62977c7ceebf5015140cffe6a</t>
        </is>
      </c>
      <c r="B212" t="n">
        <v>0.0964</v>
      </c>
      <c r="C212" t="n">
        <v>0.6214</v>
      </c>
      <c r="D212" t="n">
        <v>82.55</v>
      </c>
      <c r="E212" t="n">
        <v>74.59</v>
      </c>
      <c r="F212" t="n">
        <v>216.88</v>
      </c>
      <c r="G212" t="n">
        <v>-142.29</v>
      </c>
      <c r="H212" t="inlineStr">
        <is>
          <t>Medium Profitability</t>
        </is>
      </c>
    </row>
    <row r="213">
      <c r="A213" s="17" t="inlineStr">
        <is>
          <t>8bb39c8adabcd17c890839a228dac8c1a190c1acdd1ae96407cdb0088353f477</t>
        </is>
      </c>
      <c r="B213" s="17" t="n">
        <v>0.9467</v>
      </c>
      <c r="C213" s="17" t="n">
        <v>0.7248</v>
      </c>
      <c r="D213" s="17" t="n">
        <v>91.95999999999999</v>
      </c>
      <c r="E213" s="17" t="n">
        <v>4.9</v>
      </c>
      <c r="F213" s="17" t="n">
        <v>2130.14</v>
      </c>
      <c r="G213" s="17" t="n">
        <v>-2125.24</v>
      </c>
      <c r="H213" s="17" t="inlineStr">
        <is>
          <t>Low Profitability</t>
        </is>
      </c>
    </row>
    <row r="214">
      <c r="A214" s="18" t="inlineStr">
        <is>
          <t>006f14f8740ffe223740b9fa453703575b8a7dbc6d45c780c183b4386f08a850</t>
        </is>
      </c>
      <c r="B214" s="18" t="n">
        <v>0.0058</v>
      </c>
      <c r="C214" s="18" t="n">
        <v>0.5429</v>
      </c>
      <c r="D214" s="18" t="n">
        <v>75.40000000000001</v>
      </c>
      <c r="E214" s="18" t="n">
        <v>74.95999999999999</v>
      </c>
      <c r="F214" s="18" t="n">
        <v>13.1</v>
      </c>
      <c r="G214" s="18" t="n">
        <v>61.86</v>
      </c>
      <c r="H214" s="18" t="inlineStr">
        <is>
          <t>High Profitability</t>
        </is>
      </c>
    </row>
    <row r="215">
      <c r="A215" s="17" t="inlineStr">
        <is>
          <t>dfd3c4cff25d71e141b1a648cc4ecccd046e19aae08f02ab2c3f31019246314d</t>
        </is>
      </c>
      <c r="B215" s="17" t="n">
        <v>0.951</v>
      </c>
      <c r="C215" s="17" t="n">
        <v>0.3125</v>
      </c>
      <c r="D215" s="17" t="n">
        <v>54.44</v>
      </c>
      <c r="E215" s="17" t="n">
        <v>2.67</v>
      </c>
      <c r="F215" s="17" t="n">
        <v>2139.81</v>
      </c>
      <c r="G215" s="17" t="n">
        <v>-2137.15</v>
      </c>
      <c r="H215" s="17" t="inlineStr">
        <is>
          <t>Low Profitability</t>
        </is>
      </c>
    </row>
    <row r="216">
      <c r="A216" s="18" t="inlineStr">
        <is>
          <t>59697397fd8070e3fd674fb0accdd0430ecdfbd31cd468465408a4140e0ca4a7</t>
        </is>
      </c>
      <c r="B216" s="18" t="n">
        <v>0.0026</v>
      </c>
      <c r="C216" s="18" t="n">
        <v>0.6045</v>
      </c>
      <c r="D216" s="18" t="n">
        <v>81.01000000000001</v>
      </c>
      <c r="E216" s="18" t="n">
        <v>80.8</v>
      </c>
      <c r="F216" s="18" t="n">
        <v>5.95</v>
      </c>
      <c r="G216" s="18" t="n">
        <v>74.84999999999999</v>
      </c>
      <c r="H216" s="18" t="inlineStr">
        <is>
          <t>High Profitability</t>
        </is>
      </c>
    </row>
    <row r="217">
      <c r="A217" t="inlineStr">
        <is>
          <t>58d46c3fe5abeede65a0a65abbe1e209208c699adef445690342dabe92dcb0d1</t>
        </is>
      </c>
      <c r="B217" t="n">
        <v>0.0842</v>
      </c>
      <c r="C217" t="n">
        <v>0.2946</v>
      </c>
      <c r="D217" t="n">
        <v>52.81</v>
      </c>
      <c r="E217" t="n">
        <v>48.36</v>
      </c>
      <c r="F217" t="n">
        <v>189.34</v>
      </c>
      <c r="G217" t="n">
        <v>-140.98</v>
      </c>
      <c r="H217" t="inlineStr">
        <is>
          <t>Medium Profitability</t>
        </is>
      </c>
    </row>
    <row r="218">
      <c r="A218" s="17" t="inlineStr">
        <is>
          <t>c94d0db8b04728eb8b0bc7c96817d1ff31f8fa9518a9ae14d33e5439d7b25545</t>
        </is>
      </c>
      <c r="B218" s="17" t="n">
        <v>0.8809</v>
      </c>
      <c r="C218" s="17" t="n">
        <v>0.3536</v>
      </c>
      <c r="D218" s="17" t="n">
        <v>58.17</v>
      </c>
      <c r="E218" s="17" t="n">
        <v>6.93</v>
      </c>
      <c r="F218" s="17" t="n">
        <v>1982.02</v>
      </c>
      <c r="G218" s="17" t="n">
        <v>-1975.09</v>
      </c>
      <c r="H218" s="17" t="inlineStr">
        <is>
          <t>Low Profitability</t>
        </is>
      </c>
    </row>
    <row r="219">
      <c r="A219" t="inlineStr">
        <is>
          <t>b949fdec8a6dec1da336820dd7d27f6d05736a839f4827fe7ddf88eee34563bd</t>
        </is>
      </c>
      <c r="B219" t="n">
        <v>0.1125</v>
      </c>
      <c r="C219" t="n">
        <v>0.0135</v>
      </c>
      <c r="D219" t="n">
        <v>27.23</v>
      </c>
      <c r="E219" t="n">
        <v>24.17</v>
      </c>
      <c r="F219" t="n">
        <v>253.07</v>
      </c>
      <c r="G219" t="n">
        <v>-228.9</v>
      </c>
      <c r="H219" t="inlineStr">
        <is>
          <t>Medium Profitability</t>
        </is>
      </c>
    </row>
    <row r="220">
      <c r="A220" s="18" t="inlineStr">
        <is>
          <t>43d98f1e1270b6d2ee5fb9c8680c9b7662b46873214f14884f5baaab87e581c9</t>
        </is>
      </c>
      <c r="B220" s="18" t="n">
        <v>0.0081</v>
      </c>
      <c r="C220" s="18" t="n">
        <v>0.8068</v>
      </c>
      <c r="D220" s="18" t="n">
        <v>99.42</v>
      </c>
      <c r="E220" s="18" t="n">
        <v>98.62</v>
      </c>
      <c r="F220" s="18" t="n">
        <v>18.23</v>
      </c>
      <c r="G220" s="18" t="n">
        <v>80.39</v>
      </c>
      <c r="H220" s="18" t="inlineStr">
        <is>
          <t>High Profitability</t>
        </is>
      </c>
    </row>
    <row r="221">
      <c r="A221" s="17" t="inlineStr">
        <is>
          <t>15c3630a1bfb3b0a7f4d0913459f0bca95ba638f89d3e39511cfd63475d20533</t>
        </is>
      </c>
      <c r="B221" s="17" t="n">
        <v>0.7028</v>
      </c>
      <c r="C221" s="17" t="n">
        <v>0.3314</v>
      </c>
      <c r="D221" s="17" t="n">
        <v>56.16</v>
      </c>
      <c r="E221" s="17" t="n">
        <v>16.69</v>
      </c>
      <c r="F221" s="17" t="n">
        <v>1581.25</v>
      </c>
      <c r="G221" s="17" t="n">
        <v>-1564.55</v>
      </c>
      <c r="H221" s="17" t="inlineStr">
        <is>
          <t>Low Profitability</t>
        </is>
      </c>
    </row>
    <row r="222">
      <c r="A222" s="17" t="inlineStr">
        <is>
          <t>d840905bcddf1c95701a048efd4465a1f7266c4a653a590bbf0bc597bdbb7c48</t>
        </is>
      </c>
      <c r="B222" s="17" t="n">
        <v>0.5524</v>
      </c>
      <c r="C222" s="17" t="n">
        <v>0.4805</v>
      </c>
      <c r="D222" s="17" t="n">
        <v>69.72</v>
      </c>
      <c r="E222" s="17" t="n">
        <v>31.21</v>
      </c>
      <c r="F222" s="17" t="n">
        <v>1242.93</v>
      </c>
      <c r="G222" s="17" t="n">
        <v>-1211.72</v>
      </c>
      <c r="H222" s="17" t="inlineStr">
        <is>
          <t>Low Profitability</t>
        </is>
      </c>
    </row>
    <row r="223">
      <c r="A223" s="17" t="inlineStr">
        <is>
          <t>0292442fa32178d34d43fbc7cd111af1901a5959e8694dfac58117123b056c8a</t>
        </is>
      </c>
      <c r="B223" s="17" t="n">
        <v>0.7292999999999999</v>
      </c>
      <c r="C223" s="17" t="n">
        <v>0.7348</v>
      </c>
      <c r="D223" s="17" t="n">
        <v>92.86</v>
      </c>
      <c r="E223" s="17" t="n">
        <v>25.14</v>
      </c>
      <c r="F223" s="17" t="n">
        <v>1640.95</v>
      </c>
      <c r="G223" s="17" t="n">
        <v>-1615.81</v>
      </c>
      <c r="H223" s="17" t="inlineStr">
        <is>
          <t>Low Profitability</t>
        </is>
      </c>
    </row>
    <row r="224">
      <c r="A224" s="17" t="inlineStr">
        <is>
          <t>39eab3781f1dd5b240c7a8f91cf5d69a2fdccd4d91ed7327e07428668b2e4052</t>
        </is>
      </c>
      <c r="B224" s="17" t="n">
        <v>0.7521</v>
      </c>
      <c r="C224" s="17" t="n">
        <v>0.5667</v>
      </c>
      <c r="D224" s="17" t="n">
        <v>77.56999999999999</v>
      </c>
      <c r="E224" s="17" t="n">
        <v>19.23</v>
      </c>
      <c r="F224" s="17" t="n">
        <v>1692.16</v>
      </c>
      <c r="G224" s="17" t="n">
        <v>-1672.93</v>
      </c>
      <c r="H224" s="17" t="inlineStr">
        <is>
          <t>Low Profitability</t>
        </is>
      </c>
    </row>
    <row r="225">
      <c r="A225" s="17" t="inlineStr">
        <is>
          <t>cde580feb06122300c4c4b93de1acf85564882b646d3f5380f6c9256a2dc0de5</t>
        </is>
      </c>
      <c r="B225" s="17" t="n">
        <v>0.8552</v>
      </c>
      <c r="C225" s="17" t="n">
        <v>0.6721</v>
      </c>
      <c r="D225" s="17" t="n">
        <v>87.16</v>
      </c>
      <c r="E225" s="17" t="n">
        <v>12.62</v>
      </c>
      <c r="F225" s="17" t="n">
        <v>1924.25</v>
      </c>
      <c r="G225" s="17" t="n">
        <v>-1911.63</v>
      </c>
      <c r="H225" s="17" t="inlineStr">
        <is>
          <t>Low Profitability</t>
        </is>
      </c>
    </row>
    <row r="226">
      <c r="A226" s="17" t="inlineStr">
        <is>
          <t>eeafc60cc23153f138e5fe135a61f1566b665c10ce6ea86484e1b3429a97c59b</t>
        </is>
      </c>
      <c r="B226" s="17" t="n">
        <v>0.6774</v>
      </c>
      <c r="C226" s="17" t="n">
        <v>0.4047</v>
      </c>
      <c r="D226" s="17" t="n">
        <v>62.83</v>
      </c>
      <c r="E226" s="17" t="n">
        <v>20.27</v>
      </c>
      <c r="F226" s="17" t="n">
        <v>1524.19</v>
      </c>
      <c r="G226" s="17" t="n">
        <v>-1503.93</v>
      </c>
      <c r="H226" s="17" t="inlineStr">
        <is>
          <t>Low Profitability</t>
        </is>
      </c>
    </row>
    <row r="227">
      <c r="A227" s="18" t="inlineStr">
        <is>
          <t>d91405331321c076a6784f6c06ea1630b8e2bb2a1bd44c6cc9927c74a455b520</t>
        </is>
      </c>
      <c r="B227" s="18" t="n">
        <v>0.0022</v>
      </c>
      <c r="C227" s="18" t="n">
        <v>0.7931</v>
      </c>
      <c r="D227" s="18" t="n">
        <v>98.17</v>
      </c>
      <c r="E227" s="18" t="n">
        <v>97.95999999999999</v>
      </c>
      <c r="F227" s="18" t="n">
        <v>4.89</v>
      </c>
      <c r="G227" s="18" t="n">
        <v>93.06999999999999</v>
      </c>
      <c r="H227" s="18" t="inlineStr">
        <is>
          <t>High Profitability</t>
        </is>
      </c>
    </row>
    <row r="228">
      <c r="A228" s="18" t="inlineStr">
        <is>
          <t>f652fd37cd9112a4a7126aa8c4426d71fb5f68f59eaa6117f08918c1aa9dca06</t>
        </is>
      </c>
      <c r="B228" s="18" t="n">
        <v>0.0035</v>
      </c>
      <c r="C228" s="18" t="n">
        <v>0.1357</v>
      </c>
      <c r="D228" s="18" t="n">
        <v>38.35</v>
      </c>
      <c r="E228" s="18" t="n">
        <v>38.21</v>
      </c>
      <c r="F228" s="18" t="n">
        <v>7.97</v>
      </c>
      <c r="G228" s="18" t="n">
        <v>30.25</v>
      </c>
      <c r="H228" s="18" t="inlineStr">
        <is>
          <t>High Profitability</t>
        </is>
      </c>
    </row>
    <row r="229">
      <c r="A229" s="17" t="inlineStr">
        <is>
          <t>43b1644958f747ae4a9232b4b9dcce809cd775c65fe5a46173a3c93cbb3043e7</t>
        </is>
      </c>
      <c r="B229" s="17" t="n">
        <v>0.9263</v>
      </c>
      <c r="C229" s="17" t="n">
        <v>0.9945000000000001</v>
      </c>
      <c r="D229" s="17" t="n">
        <v>116.5</v>
      </c>
      <c r="E229" s="17" t="n">
        <v>8.58</v>
      </c>
      <c r="F229" s="17" t="n">
        <v>2084.26</v>
      </c>
      <c r="G229" s="17" t="n">
        <v>-2075.68</v>
      </c>
      <c r="H229" s="17" t="inlineStr">
        <is>
          <t>Low Profitability</t>
        </is>
      </c>
    </row>
    <row r="230">
      <c r="A230" s="18" t="inlineStr">
        <is>
          <t>2be69a83b59e17eacfa3813ccdaf003064a1517d388fe4d9f11f7f8dfc83b67d</t>
        </is>
      </c>
      <c r="B230" s="18" t="n">
        <v>0.0018</v>
      </c>
      <c r="C230" s="18" t="n">
        <v>0.2792</v>
      </c>
      <c r="D230" s="18" t="n">
        <v>51.41</v>
      </c>
      <c r="E230" s="18" t="n">
        <v>51.32</v>
      </c>
      <c r="F230" s="18" t="n">
        <v>4.07</v>
      </c>
      <c r="G230" s="18" t="n">
        <v>47.24</v>
      </c>
      <c r="H230" s="18" t="inlineStr">
        <is>
          <t>High Profitability</t>
        </is>
      </c>
    </row>
    <row r="231">
      <c r="A231" s="17" t="inlineStr">
        <is>
          <t>367b0fb5217cd073846771632fabce061c116c8d3fdcb56b099af2d0d87257ea</t>
        </is>
      </c>
      <c r="B231" s="17" t="n">
        <v>0.8647</v>
      </c>
      <c r="C231" s="17" t="n">
        <v>0.4158</v>
      </c>
      <c r="D231" s="17" t="n">
        <v>63.84</v>
      </c>
      <c r="E231" s="17" t="n">
        <v>8.640000000000001</v>
      </c>
      <c r="F231" s="17" t="n">
        <v>1945.58</v>
      </c>
      <c r="G231" s="17" t="n">
        <v>-1936.94</v>
      </c>
      <c r="H231" s="17" t="inlineStr">
        <is>
          <t>Low Profitability</t>
        </is>
      </c>
    </row>
    <row r="232">
      <c r="A232" s="17" t="inlineStr">
        <is>
          <t>6815b9b94524c44ddb486c51e0e3e4b2e3777a3284d7c70fdd3b7bb99daa8713</t>
        </is>
      </c>
      <c r="B232" s="17" t="n">
        <v>0.6501</v>
      </c>
      <c r="C232" s="17" t="n">
        <v>0.2771</v>
      </c>
      <c r="D232" s="17" t="n">
        <v>51.22</v>
      </c>
      <c r="E232" s="17" t="n">
        <v>17.92</v>
      </c>
      <c r="F232" s="17" t="n">
        <v>1462.64</v>
      </c>
      <c r="G232" s="17" t="n">
        <v>-1444.71</v>
      </c>
      <c r="H232" s="17" t="inlineStr">
        <is>
          <t>Low Profitability</t>
        </is>
      </c>
    </row>
    <row r="233">
      <c r="A233" t="inlineStr">
        <is>
          <t>ea3bf8d274a29e58c9e8c77b14c38fb464caa0af41326f45bba8be57f0277bd3</t>
        </is>
      </c>
      <c r="B233" t="n">
        <v>0.0891</v>
      </c>
      <c r="C233" t="n">
        <v>0.5524</v>
      </c>
      <c r="D233" t="n">
        <v>76.27</v>
      </c>
      <c r="E233" t="n">
        <v>69.47</v>
      </c>
      <c r="F233" t="n">
        <v>200.49</v>
      </c>
      <c r="G233" t="n">
        <v>-131.01</v>
      </c>
      <c r="H233" t="inlineStr">
        <is>
          <t>Medium Profitability</t>
        </is>
      </c>
    </row>
    <row r="234">
      <c r="A234" s="18" t="inlineStr">
        <is>
          <t>ced8546c980765bd78a5f5c7e4d01261f8b4479b8f13f4ccfaf3c6fba5ae1f64</t>
        </is>
      </c>
      <c r="B234" s="18" t="n">
        <v>0.0016</v>
      </c>
      <c r="C234" s="18" t="n">
        <v>0.7004</v>
      </c>
      <c r="D234" s="18" t="n">
        <v>89.73999999999999</v>
      </c>
      <c r="E234" s="18" t="n">
        <v>89.59</v>
      </c>
      <c r="F234" s="18" t="n">
        <v>3.64</v>
      </c>
      <c r="G234" s="18" t="n">
        <v>85.95</v>
      </c>
      <c r="H234" s="18" t="inlineStr">
        <is>
          <t>High Profitability</t>
        </is>
      </c>
    </row>
    <row r="235">
      <c r="A235" s="17" t="inlineStr">
        <is>
          <t>ba282d7f0991f96432ab3d5f2388980b75c6f7f59a585aa28a7b1eec8ba66751</t>
        </is>
      </c>
      <c r="B235" s="17" t="n">
        <v>0.8499</v>
      </c>
      <c r="C235" s="17" t="n">
        <v>0.8569</v>
      </c>
      <c r="D235" s="17" t="n">
        <v>103.98</v>
      </c>
      <c r="E235" s="17" t="n">
        <v>15.61</v>
      </c>
      <c r="F235" s="17" t="n">
        <v>1912.24</v>
      </c>
      <c r="G235" s="17" t="n">
        <v>-1896.63</v>
      </c>
      <c r="H235" s="17" t="inlineStr">
        <is>
          <t>Low Profitability</t>
        </is>
      </c>
    </row>
    <row r="236">
      <c r="A236" s="18" t="inlineStr">
        <is>
          <t>1237c007e4ba3009790a6eeaf8c7b0446ac24a71cea2520ed78588c6a8476763</t>
        </is>
      </c>
      <c r="B236" s="18" t="n">
        <v>0.0062</v>
      </c>
      <c r="C236" s="18" t="n">
        <v>0.1512</v>
      </c>
      <c r="D236" s="18" t="n">
        <v>39.76</v>
      </c>
      <c r="E236" s="18" t="n">
        <v>39.52</v>
      </c>
      <c r="F236" s="18" t="n">
        <v>13.91</v>
      </c>
      <c r="G236" s="18" t="n">
        <v>25.61</v>
      </c>
      <c r="H236" s="18" t="inlineStr">
        <is>
          <t>High Profitability</t>
        </is>
      </c>
    </row>
    <row r="237">
      <c r="A237" t="inlineStr">
        <is>
          <t>fca98fd5aa1d2e5a2e244e037ce403b09fa29877d3a3a831111268d97ba5c6e5</t>
        </is>
      </c>
      <c r="B237" t="n">
        <v>0.09859999999999999</v>
      </c>
      <c r="C237" t="n">
        <v>0.5713</v>
      </c>
      <c r="D237" t="n">
        <v>77.98999999999999</v>
      </c>
      <c r="E237" t="n">
        <v>70.3</v>
      </c>
      <c r="F237" t="n">
        <v>221.79</v>
      </c>
      <c r="G237" t="n">
        <v>-151.49</v>
      </c>
      <c r="H237" t="inlineStr">
        <is>
          <t>Medium Profitability</t>
        </is>
      </c>
    </row>
    <row r="238">
      <c r="A238" s="17" t="inlineStr">
        <is>
          <t>7598d39e3a6eccc69c4c63760086043dc0876a3a0aff18322634e71b5f016559</t>
        </is>
      </c>
      <c r="B238" s="17" t="n">
        <v>0.9779</v>
      </c>
      <c r="C238" s="17" t="n">
        <v>0.8845</v>
      </c>
      <c r="D238" s="17" t="n">
        <v>106.49</v>
      </c>
      <c r="E238" s="17" t="n">
        <v>2.36</v>
      </c>
      <c r="F238" s="17" t="n">
        <v>2200.2</v>
      </c>
      <c r="G238" s="17" t="n">
        <v>-2197.85</v>
      </c>
      <c r="H238" s="17" t="inlineStr">
        <is>
          <t>Low Profitability</t>
        </is>
      </c>
    </row>
    <row r="239">
      <c r="A239" t="inlineStr">
        <is>
          <t>a87fb1154278d62a6bbbcf4155b46e4c49ed94fecc5e56fffd59536a8ef8f97b</t>
        </is>
      </c>
      <c r="B239" t="n">
        <v>0.227</v>
      </c>
      <c r="C239" t="n">
        <v>0.4549</v>
      </c>
      <c r="D239" t="n">
        <v>67.40000000000001</v>
      </c>
      <c r="E239" t="n">
        <v>52.1</v>
      </c>
      <c r="F239" t="n">
        <v>510.75</v>
      </c>
      <c r="G239" t="n">
        <v>-458.65</v>
      </c>
      <c r="H239" t="inlineStr">
        <is>
          <t>Medium Profitability</t>
        </is>
      </c>
    </row>
    <row r="240">
      <c r="A240" t="inlineStr">
        <is>
          <t>e8a1e2121418e94495ce497e813bf583a3b615ba3d1f8304553525ae453b3129</t>
        </is>
      </c>
      <c r="B240" t="n">
        <v>0.1116</v>
      </c>
      <c r="C240" t="n">
        <v>0.0251</v>
      </c>
      <c r="D240" t="n">
        <v>28.29</v>
      </c>
      <c r="E240" t="n">
        <v>25.13</v>
      </c>
      <c r="F240" t="n">
        <v>251.07</v>
      </c>
      <c r="G240" t="n">
        <v>-225.94</v>
      </c>
      <c r="H240" t="inlineStr">
        <is>
          <t>Medium Profitability</t>
        </is>
      </c>
    </row>
    <row r="241">
      <c r="A241" s="17" t="inlineStr">
        <is>
          <t>9b39056b17d24dd35d62b7dd913d624fb5bd305612ec9f855261dacc2454f9ad</t>
        </is>
      </c>
      <c r="B241" s="17" t="n">
        <v>0.8312</v>
      </c>
      <c r="C241" s="17" t="n">
        <v>0.3804</v>
      </c>
      <c r="D241" s="17" t="n">
        <v>60.62</v>
      </c>
      <c r="E241" s="17" t="n">
        <v>10.23</v>
      </c>
      <c r="F241" s="17" t="n">
        <v>1870.23</v>
      </c>
      <c r="G241" s="17" t="n">
        <v>-1860</v>
      </c>
      <c r="H241" s="17" t="inlineStr">
        <is>
          <t>Low Profitability</t>
        </is>
      </c>
    </row>
    <row r="242">
      <c r="A242" s="18" t="inlineStr">
        <is>
          <t>4bcaf8736bb022b352829db4c3e766fe0e18e5333d55b1d00b8f324d6884a25b</t>
        </is>
      </c>
      <c r="B242" s="18" t="n">
        <v>0.0051</v>
      </c>
      <c r="C242" s="18" t="n">
        <v>0.6573</v>
      </c>
      <c r="D242" s="18" t="n">
        <v>85.81999999999999</v>
      </c>
      <c r="E242" s="18" t="n">
        <v>85.38</v>
      </c>
      <c r="F242" s="18" t="n">
        <v>11.43</v>
      </c>
      <c r="G242" s="18" t="n">
        <v>73.95</v>
      </c>
      <c r="H242" s="18" t="inlineStr">
        <is>
          <t>High Profitability</t>
        </is>
      </c>
    </row>
    <row r="243">
      <c r="A243" s="17" t="inlineStr">
        <is>
          <t>1a6fcbc49cb0a9fccfad255c522659025e22783c814427bef8fa3af6ae01f388</t>
        </is>
      </c>
      <c r="B243" s="17" t="n">
        <v>0.4532</v>
      </c>
      <c r="C243" s="17" t="n">
        <v>0.6717</v>
      </c>
      <c r="D243" s="17" t="n">
        <v>87.12</v>
      </c>
      <c r="E243" s="17" t="n">
        <v>47.64</v>
      </c>
      <c r="F243" s="17" t="n">
        <v>1019.74</v>
      </c>
      <c r="G243" s="17" t="n">
        <v>-972.1</v>
      </c>
      <c r="H243" s="17" t="inlineStr">
        <is>
          <t>Low Profitability</t>
        </is>
      </c>
    </row>
    <row r="244">
      <c r="A244" s="18" t="inlineStr">
        <is>
          <t>5d902c2d8f6921b5287fe56a62ce4bffeaf8b1e40ba7808487818fe0e1fb85e2</t>
        </is>
      </c>
      <c r="B244" s="18" t="n">
        <v>0.0067</v>
      </c>
      <c r="C244" s="18" t="n">
        <v>0.0949</v>
      </c>
      <c r="D244" s="18" t="n">
        <v>34.63</v>
      </c>
      <c r="E244" s="18" t="n">
        <v>34.4</v>
      </c>
      <c r="F244" s="18" t="n">
        <v>15.05</v>
      </c>
      <c r="G244" s="18" t="n">
        <v>19.35</v>
      </c>
      <c r="H244" s="18" t="inlineStr">
        <is>
          <t>High Profitability</t>
        </is>
      </c>
    </row>
    <row r="245">
      <c r="A245" t="inlineStr">
        <is>
          <t>54cc6ab06b1d6bc4372af58acaa57f3d1e25f3c242cfc389e1f206bf0a54c542</t>
        </is>
      </c>
      <c r="B245" t="n">
        <v>0.1682</v>
      </c>
      <c r="C245" t="n">
        <v>0.1558</v>
      </c>
      <c r="D245" t="n">
        <v>40.18</v>
      </c>
      <c r="E245" t="n">
        <v>33.42</v>
      </c>
      <c r="F245" t="n">
        <v>378.48</v>
      </c>
      <c r="G245" t="n">
        <v>-345.06</v>
      </c>
      <c r="H245" t="inlineStr">
        <is>
          <t>Medium Profitability</t>
        </is>
      </c>
    </row>
    <row r="246">
      <c r="A246" s="17" t="inlineStr">
        <is>
          <t>69049b003360268ebb529ae0bf20fc914df00247d2a409d55424cdc41032f965</t>
        </is>
      </c>
      <c r="B246" s="17" t="n">
        <v>0.4413</v>
      </c>
      <c r="C246" s="17" t="n">
        <v>0.4436</v>
      </c>
      <c r="D246" s="17" t="n">
        <v>66.37</v>
      </c>
      <c r="E246" s="17" t="n">
        <v>37.08</v>
      </c>
      <c r="F246" s="17" t="n">
        <v>993.03</v>
      </c>
      <c r="G246" s="17" t="n">
        <v>-955.95</v>
      </c>
      <c r="H246" s="17" t="inlineStr">
        <is>
          <t>Low Profitability</t>
        </is>
      </c>
    </row>
    <row r="247">
      <c r="A247" t="inlineStr">
        <is>
          <t>7291fb3fe747bf0a9006354d2fe5686a411e0e98bed8dc6740bf7a027979fb2a</t>
        </is>
      </c>
      <c r="B247" t="n">
        <v>0.099</v>
      </c>
      <c r="C247" t="n">
        <v>0.0929</v>
      </c>
      <c r="D247" t="n">
        <v>34.46</v>
      </c>
      <c r="E247" t="n">
        <v>31.04</v>
      </c>
      <c r="F247" t="n">
        <v>222.76</v>
      </c>
      <c r="G247" t="n">
        <v>-191.72</v>
      </c>
      <c r="H247" t="inlineStr">
        <is>
          <t>Medium Profitability</t>
        </is>
      </c>
    </row>
    <row r="248">
      <c r="A248" t="inlineStr">
        <is>
          <t>f7409d0ada628063a09b0ce13d0f62f9695fe70655c1158757a1d08ed07b5ab3</t>
        </is>
      </c>
      <c r="B248" t="n">
        <v>0.1137</v>
      </c>
      <c r="C248" t="n">
        <v>0.395</v>
      </c>
      <c r="D248" t="n">
        <v>61.95</v>
      </c>
      <c r="E248" t="n">
        <v>54.9</v>
      </c>
      <c r="F248" t="n">
        <v>255.82</v>
      </c>
      <c r="G248" t="n">
        <v>-200.92</v>
      </c>
      <c r="H248" t="inlineStr">
        <is>
          <t>Medium Profitability</t>
        </is>
      </c>
    </row>
    <row r="249">
      <c r="A249" s="17" t="inlineStr">
        <is>
          <t>9150562a5c25989c93912598fd73ca74c1299eb0a85ddcf4101472a5ab28aceb</t>
        </is>
      </c>
      <c r="B249" s="17" t="n">
        <v>0.921</v>
      </c>
      <c r="C249" s="17" t="n">
        <v>0.6926</v>
      </c>
      <c r="D249" s="17" t="n">
        <v>89.02</v>
      </c>
      <c r="E249" s="17" t="n">
        <v>7.03</v>
      </c>
      <c r="F249" s="17" t="n">
        <v>2072.22</v>
      </c>
      <c r="G249" s="17" t="n">
        <v>-2065.18</v>
      </c>
      <c r="H249" s="17" t="inlineStr">
        <is>
          <t>Low Profitability</t>
        </is>
      </c>
    </row>
    <row r="250">
      <c r="A250" s="17" t="inlineStr">
        <is>
          <t>747e57e2615773e21b34d4a8be44656e1f85f068ad0b131ba90a5ff5c712b14b</t>
        </is>
      </c>
      <c r="B250" s="17" t="n">
        <v>0.9961</v>
      </c>
      <c r="C250" s="17" t="n">
        <v>0.9991</v>
      </c>
      <c r="D250" s="17" t="n">
        <v>116.92</v>
      </c>
      <c r="E250" s="17" t="n">
        <v>0.45</v>
      </c>
      <c r="F250" s="17" t="n">
        <v>2241.25</v>
      </c>
      <c r="G250" s="17" t="n">
        <v>-2240.8</v>
      </c>
      <c r="H250" s="17" t="inlineStr">
        <is>
          <t>Low Profitability</t>
        </is>
      </c>
    </row>
    <row r="251">
      <c r="A251" s="17" t="inlineStr">
        <is>
          <t>8885f9fe9146a9dd2ed2150884ce19563f5ce0ed061700876347679543d7bf4f</t>
        </is>
      </c>
      <c r="B251" s="17" t="n">
        <v>0.6384</v>
      </c>
      <c r="C251" s="17" t="n">
        <v>0.4012</v>
      </c>
      <c r="D251" s="17" t="n">
        <v>62.51</v>
      </c>
      <c r="E251" s="17" t="n">
        <v>22.6</v>
      </c>
      <c r="F251" s="17" t="n">
        <v>1436.41</v>
      </c>
      <c r="G251" s="17" t="n">
        <v>-1413.81</v>
      </c>
      <c r="H251" s="17" t="inlineStr">
        <is>
          <t>Low Profitability</t>
        </is>
      </c>
    </row>
    <row r="252">
      <c r="A252" t="inlineStr">
        <is>
          <t>e272f82358f2a0ad1b9a99f29eeeb4ca8f81c5421496349b58ca5c8a93d47faa</t>
        </is>
      </c>
      <c r="B252" t="n">
        <v>0.1313</v>
      </c>
      <c r="C252" t="n">
        <v>0.2719</v>
      </c>
      <c r="D252" t="n">
        <v>50.74</v>
      </c>
      <c r="E252" t="n">
        <v>44.08</v>
      </c>
      <c r="F252" t="n">
        <v>295.51</v>
      </c>
      <c r="G252" t="n">
        <v>-251.43</v>
      </c>
      <c r="H252" t="inlineStr">
        <is>
          <t>Medium Profitability</t>
        </is>
      </c>
    </row>
    <row r="253">
      <c r="A253" s="18" t="inlineStr">
        <is>
          <t>9a7f918aa29a590d6e20de0920f51765ce6989e41c3d8044e1707eeb253cd21a</t>
        </is>
      </c>
      <c r="B253" s="18" t="n">
        <v>0.0033</v>
      </c>
      <c r="C253" s="18" t="n">
        <v>0.8036</v>
      </c>
      <c r="D253" s="18" t="n">
        <v>99.13</v>
      </c>
      <c r="E253" s="18" t="n">
        <v>98.8</v>
      </c>
      <c r="F253" s="18" t="n">
        <v>7.36</v>
      </c>
      <c r="G253" s="18" t="n">
        <v>91.44</v>
      </c>
      <c r="H253" s="18" t="inlineStr">
        <is>
          <t>High Profitability</t>
        </is>
      </c>
    </row>
    <row r="254">
      <c r="A254" s="17" t="inlineStr">
        <is>
          <t>a55b5e6c89c6297c516b973f7376372752a460567921553b748f0e90b9887784</t>
        </is>
      </c>
      <c r="B254" s="17" t="n">
        <v>0.8364</v>
      </c>
      <c r="C254" s="17" t="n">
        <v>0.0483</v>
      </c>
      <c r="D254" s="17" t="n">
        <v>30.4</v>
      </c>
      <c r="E254" s="17" t="n">
        <v>4.97</v>
      </c>
      <c r="F254" s="17" t="n">
        <v>1881.86</v>
      </c>
      <c r="G254" s="17" t="n">
        <v>-1876.89</v>
      </c>
      <c r="H254" s="17" t="inlineStr">
        <is>
          <t>Low Profitability</t>
        </is>
      </c>
    </row>
    <row r="255">
      <c r="A255" s="17" t="inlineStr">
        <is>
          <t>aae33aaae6f487eb8e0f36478fd2ce9a58b16c576c165417e3e6bae89e170409</t>
        </is>
      </c>
      <c r="B255" s="17" t="n">
        <v>0.7002</v>
      </c>
      <c r="C255" s="17" t="n">
        <v>0.3096</v>
      </c>
      <c r="D255" s="17" t="n">
        <v>54.17</v>
      </c>
      <c r="E255" s="17" t="n">
        <v>16.24</v>
      </c>
      <c r="F255" s="17" t="n">
        <v>1575.43</v>
      </c>
      <c r="G255" s="17" t="n">
        <v>-1559.19</v>
      </c>
      <c r="H255" s="17" t="inlineStr">
        <is>
          <t>Low Profitability</t>
        </is>
      </c>
    </row>
    <row r="256">
      <c r="A256" s="17" t="inlineStr">
        <is>
          <t>8658e759e1bd357fd5efb3cbad2a3d8ee12f83029e32b6ef393a922848d4570f</t>
        </is>
      </c>
      <c r="B256" s="17" t="n">
        <v>0.8715000000000001</v>
      </c>
      <c r="C256" s="17" t="n">
        <v>0.0849</v>
      </c>
      <c r="D256" s="17" t="n">
        <v>33.73</v>
      </c>
      <c r="E256" s="17" t="n">
        <v>4.34</v>
      </c>
      <c r="F256" s="17" t="n">
        <v>1960.77</v>
      </c>
      <c r="G256" s="17" t="n">
        <v>-1956.44</v>
      </c>
      <c r="H256" s="17" t="inlineStr">
        <is>
          <t>Low Profitability</t>
        </is>
      </c>
    </row>
    <row r="257">
      <c r="A257" s="17" t="inlineStr">
        <is>
          <t>5a2f7fdf71a3f3d32498ae31a7ee066ee1faeb945b6f69f22c94b869d833b59b</t>
        </is>
      </c>
      <c r="B257" s="17" t="n">
        <v>0.9813</v>
      </c>
      <c r="C257" s="17" t="n">
        <v>0.0046</v>
      </c>
      <c r="D257" s="17" t="n">
        <v>26.42</v>
      </c>
      <c r="E257" s="17" t="n">
        <v>0.49</v>
      </c>
      <c r="F257" s="17" t="n">
        <v>2207.93</v>
      </c>
      <c r="G257" s="17" t="n">
        <v>-2207.43</v>
      </c>
      <c r="H257" s="17" t="inlineStr">
        <is>
          <t>Low Profitability</t>
        </is>
      </c>
    </row>
    <row r="258">
      <c r="A258" s="18" t="inlineStr">
        <is>
          <t>75fc729d620dac0ca59e021cf84a2aae2b13e46cd397f6ff7159ded736b43b99</t>
        </is>
      </c>
      <c r="B258" s="18" t="n">
        <v>0.0021</v>
      </c>
      <c r="C258" s="18" t="n">
        <v>0.4506</v>
      </c>
      <c r="D258" s="18" t="n">
        <v>67</v>
      </c>
      <c r="E258" s="18" t="n">
        <v>66.86</v>
      </c>
      <c r="F258" s="18" t="n">
        <v>4.75</v>
      </c>
      <c r="G258" s="18" t="n">
        <v>62.11</v>
      </c>
      <c r="H258" s="18" t="inlineStr">
        <is>
          <t>High Profitability</t>
        </is>
      </c>
    </row>
    <row r="259">
      <c r="A259" t="inlineStr">
        <is>
          <t>9757c72b9a1b9888c1f7ef6bed151fdfffd401c50142b736bef6e7a3f0f49aa2</t>
        </is>
      </c>
      <c r="B259" t="n">
        <v>0.11</v>
      </c>
      <c r="C259" t="n">
        <v>0.1924</v>
      </c>
      <c r="D259" t="n">
        <v>43.51</v>
      </c>
      <c r="E259" t="n">
        <v>38.72</v>
      </c>
      <c r="F259" t="n">
        <v>247.58</v>
      </c>
      <c r="G259" t="n">
        <v>-208.85</v>
      </c>
      <c r="H259" t="inlineStr">
        <is>
          <t>Medium Profitability</t>
        </is>
      </c>
    </row>
    <row r="260">
      <c r="A260" s="17" t="inlineStr">
        <is>
          <t>9603d3c3da254b2f527b307486739389866f857fff43a04aed1277e48fa1e10f</t>
        </is>
      </c>
      <c r="B260" s="17" t="n">
        <v>0.6524</v>
      </c>
      <c r="C260" s="17" t="n">
        <v>0.6739000000000001</v>
      </c>
      <c r="D260" s="17" t="n">
        <v>87.33</v>
      </c>
      <c r="E260" s="17" t="n">
        <v>30.35</v>
      </c>
      <c r="F260" s="17" t="n">
        <v>1468</v>
      </c>
      <c r="G260" s="17" t="n">
        <v>-1437.64</v>
      </c>
      <c r="H260" s="17" t="inlineStr">
        <is>
          <t>Low Profitability</t>
        </is>
      </c>
    </row>
    <row r="261">
      <c r="A261" s="17" t="inlineStr">
        <is>
          <t>c4ea898bdd7cf8e6c7c62ff02363ff64df93b3888ac7fe9f2c9a406dbf915bdb</t>
        </is>
      </c>
      <c r="B261" s="17" t="n">
        <v>0.7073</v>
      </c>
      <c r="C261" s="17" t="n">
        <v>0.0631</v>
      </c>
      <c r="D261" s="17" t="n">
        <v>31.74</v>
      </c>
      <c r="E261" s="17" t="n">
        <v>9.289999999999999</v>
      </c>
      <c r="F261" s="17" t="n">
        <v>1591.44</v>
      </c>
      <c r="G261" s="17" t="n">
        <v>-1582.15</v>
      </c>
      <c r="H261" s="17" t="inlineStr">
        <is>
          <t>Low Profitability</t>
        </is>
      </c>
    </row>
    <row r="262">
      <c r="A262" s="18" t="inlineStr">
        <is>
          <t>fc6d05632c47c20ef01bfc1048707370734b9b9fbedb02d37263ea6164e69290</t>
        </is>
      </c>
      <c r="B262" s="18" t="n">
        <v>0.0815</v>
      </c>
      <c r="C262" s="18" t="n">
        <v>0.9161</v>
      </c>
      <c r="D262" s="18" t="n">
        <v>109.36</v>
      </c>
      <c r="E262" s="18" t="n">
        <v>100.45</v>
      </c>
      <c r="F262" s="18" t="n">
        <v>183.35</v>
      </c>
      <c r="G262" s="18" t="n">
        <v>-82.90000000000001</v>
      </c>
      <c r="H262" s="18" t="inlineStr">
        <is>
          <t>High Profitability</t>
        </is>
      </c>
    </row>
    <row r="263">
      <c r="A263" s="17" t="inlineStr">
        <is>
          <t>9ea1591f73e66eb9f2a23af3f02372a03b3f05f6820efb4ce5e405e319af2590</t>
        </is>
      </c>
      <c r="B263" s="17" t="n">
        <v>0.5374</v>
      </c>
      <c r="C263" s="17" t="n">
        <v>0.3708</v>
      </c>
      <c r="D263" s="17" t="n">
        <v>59.74</v>
      </c>
      <c r="E263" s="17" t="n">
        <v>27.63</v>
      </c>
      <c r="F263" s="17" t="n">
        <v>1209.23</v>
      </c>
      <c r="G263" s="17" t="n">
        <v>-1181.6</v>
      </c>
      <c r="H263" s="17" t="inlineStr">
        <is>
          <t>Low Profitability</t>
        </is>
      </c>
    </row>
    <row r="264">
      <c r="A264" s="17" t="inlineStr">
        <is>
          <t>9d8d38d1760c8b7a0db7578ae76053877020ecd694b1efb5f271be04c4343e13</t>
        </is>
      </c>
      <c r="B264" s="17" t="n">
        <v>0.9326</v>
      </c>
      <c r="C264" s="17" t="n">
        <v>0.3273</v>
      </c>
      <c r="D264" s="17" t="n">
        <v>55.79</v>
      </c>
      <c r="E264" s="17" t="n">
        <v>3.76</v>
      </c>
      <c r="F264" s="17" t="n">
        <v>2098.33</v>
      </c>
      <c r="G264" s="17" t="n">
        <v>-2094.56</v>
      </c>
      <c r="H264" s="17" t="inlineStr">
        <is>
          <t>Low Profitability</t>
        </is>
      </c>
    </row>
    <row r="265">
      <c r="A265" s="17" t="inlineStr">
        <is>
          <t>73b1454581f06972908cd07a94ab048560c4a7232b702760754e60fa5594f892</t>
        </is>
      </c>
      <c r="B265" s="17" t="n">
        <v>0.489</v>
      </c>
      <c r="C265" s="17" t="n">
        <v>0.3204</v>
      </c>
      <c r="D265" s="17" t="n">
        <v>55.15</v>
      </c>
      <c r="E265" s="17" t="n">
        <v>28.19</v>
      </c>
      <c r="F265" s="17" t="n">
        <v>1100.15</v>
      </c>
      <c r="G265" s="17" t="n">
        <v>-1071.96</v>
      </c>
      <c r="H265" s="17" t="inlineStr">
        <is>
          <t>Low Profitability</t>
        </is>
      </c>
    </row>
    <row r="266">
      <c r="A266" s="17" t="inlineStr">
        <is>
          <t>b91914dbf694329249a77c0ebb90f12acaadf97d2a74ab6444551fbfb92a54ba</t>
        </is>
      </c>
      <c r="B266" s="17" t="n">
        <v>0.9911</v>
      </c>
      <c r="C266" s="17" t="n">
        <v>0.5091</v>
      </c>
      <c r="D266" s="17" t="n">
        <v>72.33</v>
      </c>
      <c r="E266" s="17" t="n">
        <v>0.64</v>
      </c>
      <c r="F266" s="17" t="n">
        <v>2230.01</v>
      </c>
      <c r="G266" s="17" t="n">
        <v>-2229.36</v>
      </c>
      <c r="H266" s="17" t="inlineStr">
        <is>
          <t>Low Profitability</t>
        </is>
      </c>
    </row>
    <row r="267">
      <c r="A267" s="18" t="inlineStr">
        <is>
          <t>3907b77f8cba837b0d7d887b40120b25ef5b38afc5d108031b0d20a08aa6ffc2</t>
        </is>
      </c>
      <c r="B267" s="18" t="n">
        <v>0.0027</v>
      </c>
      <c r="C267" s="18" t="n">
        <v>0.4039</v>
      </c>
      <c r="D267" s="18" t="n">
        <v>62.75</v>
      </c>
      <c r="E267" s="18" t="n">
        <v>62.58</v>
      </c>
      <c r="F267" s="18" t="n">
        <v>6.14</v>
      </c>
      <c r="G267" s="18" t="n">
        <v>56.44</v>
      </c>
      <c r="H267" s="18" t="inlineStr">
        <is>
          <t>High Profitability</t>
        </is>
      </c>
    </row>
    <row r="268">
      <c r="A268" s="18" t="inlineStr">
        <is>
          <t>e1c62b3d7a8278df3427b0f8e5fbd17fd52488ee5cf6d914dd694c170dedd3fc</t>
        </is>
      </c>
      <c r="B268" s="18" t="n">
        <v>0.0037</v>
      </c>
      <c r="C268" s="18" t="n">
        <v>0.0462</v>
      </c>
      <c r="D268" s="18" t="n">
        <v>30.2</v>
      </c>
      <c r="E268" s="18" t="n">
        <v>30.09</v>
      </c>
      <c r="F268" s="18" t="n">
        <v>8.41</v>
      </c>
      <c r="G268" s="18" t="n">
        <v>21.68</v>
      </c>
      <c r="H268" s="18" t="inlineStr">
        <is>
          <t>High Profitability</t>
        </is>
      </c>
    </row>
    <row r="269">
      <c r="A269" t="inlineStr">
        <is>
          <t>18b4771d75315ebe07862b0faecb93e2ba4e82d77bb38cb6f2f3f74c4f357e5a</t>
        </is>
      </c>
      <c r="B269" t="n">
        <v>0.1534</v>
      </c>
      <c r="C269" t="n">
        <v>0.3058</v>
      </c>
      <c r="D269" t="n">
        <v>53.83</v>
      </c>
      <c r="E269" t="n">
        <v>45.57</v>
      </c>
      <c r="F269" t="n">
        <v>345.12</v>
      </c>
      <c r="G269" t="n">
        <v>-299.55</v>
      </c>
      <c r="H269" t="inlineStr">
        <is>
          <t>Medium Profitability</t>
        </is>
      </c>
    </row>
    <row r="270">
      <c r="A270" s="18" t="inlineStr">
        <is>
          <t>87fc9e60f7aab1696e90a661c9f2a76b05ebc55aff16d9c4d291865c4e96d936</t>
        </is>
      </c>
      <c r="B270" s="18" t="n">
        <v>0.0181</v>
      </c>
      <c r="C270" s="18" t="n">
        <v>0.7359</v>
      </c>
      <c r="D270" s="18" t="n">
        <v>92.97</v>
      </c>
      <c r="E270" s="18" t="n">
        <v>91.28</v>
      </c>
      <c r="F270" s="18" t="n">
        <v>40.75</v>
      </c>
      <c r="G270" s="18" t="n">
        <v>50.53</v>
      </c>
      <c r="H270" s="18" t="inlineStr">
        <is>
          <t>High Profitability</t>
        </is>
      </c>
    </row>
    <row r="271">
      <c r="A271" s="18" t="inlineStr">
        <is>
          <t>f4683f542f9ba70bd547ba516dec758c13b2c04d4a0ac34ee5944a9f20630970</t>
        </is>
      </c>
      <c r="B271" s="18" t="n">
        <v>0.0014</v>
      </c>
      <c r="C271" s="18" t="n">
        <v>0.4823</v>
      </c>
      <c r="D271" s="18" t="n">
        <v>69.89</v>
      </c>
      <c r="E271" s="18" t="n">
        <v>69.79000000000001</v>
      </c>
      <c r="F271" s="18" t="n">
        <v>3.14</v>
      </c>
      <c r="G271" s="18" t="n">
        <v>66.65000000000001</v>
      </c>
      <c r="H271" s="18" t="inlineStr">
        <is>
          <t>High Profitability</t>
        </is>
      </c>
    </row>
    <row r="272">
      <c r="A272" s="17" t="inlineStr">
        <is>
          <t>0c91f0cda40ab1551be609314b13b917c359985ceaa019fcc52e7c6613e8dd95</t>
        </is>
      </c>
      <c r="B272" s="17" t="n">
        <v>0.6009</v>
      </c>
      <c r="C272" s="17" t="n">
        <v>0.2531</v>
      </c>
      <c r="D272" s="17" t="n">
        <v>49.03</v>
      </c>
      <c r="E272" s="17" t="n">
        <v>19.57</v>
      </c>
      <c r="F272" s="17" t="n">
        <v>1352.1</v>
      </c>
      <c r="G272" s="17" t="n">
        <v>-1332.54</v>
      </c>
      <c r="H272" s="17" t="inlineStr">
        <is>
          <t>Low Profitability</t>
        </is>
      </c>
    </row>
    <row r="273">
      <c r="A273" t="inlineStr">
        <is>
          <t>a67db97d10a3fecd6ce5eb30eb87cbbfa28e40fc00e0e6dbf81eb7bb2bc9264f</t>
        </is>
      </c>
      <c r="B273" t="n">
        <v>0.1325</v>
      </c>
      <c r="C273" t="n">
        <v>0.5458</v>
      </c>
      <c r="D273" t="n">
        <v>75.66</v>
      </c>
      <c r="E273" t="n">
        <v>65.64</v>
      </c>
      <c r="F273" t="n">
        <v>298.16</v>
      </c>
      <c r="G273" t="n">
        <v>-232.52</v>
      </c>
      <c r="H273" t="inlineStr">
        <is>
          <t>Medium Profitability</t>
        </is>
      </c>
    </row>
    <row r="274">
      <c r="A274" s="17" t="inlineStr">
        <is>
          <t>558b8fc39d8fd31fd2e4a9aff735a6f6361587117cdae70a8669161ab08ff3ba</t>
        </is>
      </c>
      <c r="B274" s="17" t="n">
        <v>0.5298</v>
      </c>
      <c r="C274" s="17" t="n">
        <v>0.5118</v>
      </c>
      <c r="D274" s="17" t="n">
        <v>72.58</v>
      </c>
      <c r="E274" s="17" t="n">
        <v>34.13</v>
      </c>
      <c r="F274" s="17" t="n">
        <v>1192.06</v>
      </c>
      <c r="G274" s="17" t="n">
        <v>-1157.94</v>
      </c>
      <c r="H274" s="17" t="inlineStr">
        <is>
          <t>Low Profitability</t>
        </is>
      </c>
    </row>
    <row r="275">
      <c r="A275" s="18" t="inlineStr">
        <is>
          <t>3ccd71de2482141066e124609b7cbbc097db6460d8123109a29bf57967ce4924</t>
        </is>
      </c>
      <c r="B275" s="18" t="n">
        <v>0.0012</v>
      </c>
      <c r="C275" s="18" t="n">
        <v>0.7413999999999999</v>
      </c>
      <c r="D275" s="18" t="n">
        <v>93.47</v>
      </c>
      <c r="E275" s="18" t="n">
        <v>93.36</v>
      </c>
      <c r="F275" s="18" t="n">
        <v>2.74</v>
      </c>
      <c r="G275" s="18" t="n">
        <v>90.62</v>
      </c>
      <c r="H275" s="18" t="inlineStr">
        <is>
          <t>High Profitability</t>
        </is>
      </c>
    </row>
    <row r="276">
      <c r="A276" s="18" t="inlineStr">
        <is>
          <t>19a9fffd414a079707880a1fa56983f25fa5f7605a4d5ae69d9df2c9aa0039ee</t>
        </is>
      </c>
      <c r="B276" s="18" t="n">
        <v>0.0022</v>
      </c>
      <c r="C276" s="18" t="n">
        <v>0.9724</v>
      </c>
      <c r="D276" s="18" t="n">
        <v>114.49</v>
      </c>
      <c r="E276" s="18" t="n">
        <v>114.24</v>
      </c>
      <c r="F276" s="18" t="n">
        <v>4.84</v>
      </c>
      <c r="G276" s="18" t="n">
        <v>109.4</v>
      </c>
      <c r="H276" s="18" t="inlineStr">
        <is>
          <t>High Profitability</t>
        </is>
      </c>
    </row>
    <row r="277">
      <c r="A277" s="17" t="inlineStr">
        <is>
          <t>94ac935c8bab90b7e4bb144633aae2b3113c3cfa2d26bec2d68a667ba826ac74</t>
        </is>
      </c>
      <c r="B277" s="17" t="n">
        <v>0.9135</v>
      </c>
      <c r="C277" s="17" t="n">
        <v>0.0935</v>
      </c>
      <c r="D277" s="17" t="n">
        <v>34.51</v>
      </c>
      <c r="E277" s="17" t="n">
        <v>2.99</v>
      </c>
      <c r="F277" s="17" t="n">
        <v>2055.29</v>
      </c>
      <c r="G277" s="17" t="n">
        <v>-2052.3</v>
      </c>
      <c r="H277" s="17" t="inlineStr">
        <is>
          <t>Low Profitability</t>
        </is>
      </c>
    </row>
    <row r="278">
      <c r="A278" s="17" t="inlineStr">
        <is>
          <t>b46b3d8693701604c1e2b0fb385ba70c71523109817b9c687ca3ba4d30f83ce3</t>
        </is>
      </c>
      <c r="B278" s="17" t="n">
        <v>0.7232</v>
      </c>
      <c r="C278" s="17" t="n">
        <v>0.2903</v>
      </c>
      <c r="D278" s="17" t="n">
        <v>52.42</v>
      </c>
      <c r="E278" s="17" t="n">
        <v>14.51</v>
      </c>
      <c r="F278" s="17" t="n">
        <v>1627.19</v>
      </c>
      <c r="G278" s="17" t="n">
        <v>-1612.69</v>
      </c>
      <c r="H278" s="17" t="inlineStr">
        <is>
          <t>Low Profitability</t>
        </is>
      </c>
    </row>
    <row r="279">
      <c r="A279" t="inlineStr">
        <is>
          <t>0cb345f253e669972b7dff252c64361887ab0547e44b5d5043ac377c045ca225</t>
        </is>
      </c>
      <c r="B279" t="n">
        <v>0.1788</v>
      </c>
      <c r="C279" t="n">
        <v>0.9234</v>
      </c>
      <c r="D279" t="n">
        <v>110.03</v>
      </c>
      <c r="E279" t="n">
        <v>90.36</v>
      </c>
      <c r="F279" t="n">
        <v>402.3</v>
      </c>
      <c r="G279" t="n">
        <v>-311.94</v>
      </c>
      <c r="H279" t="inlineStr">
        <is>
          <t>Medium Profitability</t>
        </is>
      </c>
    </row>
    <row r="280">
      <c r="A280" t="inlineStr">
        <is>
          <t>0cf2e0c0d372bacee651f2186120c6d36cddbc655acd918929002ca84de49a9e</t>
        </is>
      </c>
      <c r="B280" t="n">
        <v>0.3289</v>
      </c>
      <c r="C280" t="n">
        <v>0.7902</v>
      </c>
      <c r="D280" t="n">
        <v>97.91</v>
      </c>
      <c r="E280" t="n">
        <v>65.7</v>
      </c>
      <c r="F280" t="n">
        <v>740.09</v>
      </c>
      <c r="G280" t="n">
        <v>-674.39</v>
      </c>
      <c r="H280" t="inlineStr">
        <is>
          <t>Medium Profitability</t>
        </is>
      </c>
    </row>
    <row r="281">
      <c r="A281" t="inlineStr">
        <is>
          <t>d0ca863a5e19582c5eb8dd8e29d16b56add09a51ffd7d362d827860dc51d7465</t>
        </is>
      </c>
      <c r="B281" t="n">
        <v>0.08400000000000001</v>
      </c>
      <c r="C281" t="n">
        <v>0.6545</v>
      </c>
      <c r="D281" t="n">
        <v>85.56</v>
      </c>
      <c r="E281" t="n">
        <v>78.37</v>
      </c>
      <c r="F281" t="n">
        <v>188.96</v>
      </c>
      <c r="G281" t="n">
        <v>-110.59</v>
      </c>
      <c r="H281" t="inlineStr">
        <is>
          <t>Medium Profitability</t>
        </is>
      </c>
    </row>
    <row r="282">
      <c r="A282" t="inlineStr">
        <is>
          <t>c676fcded0a3423ef58b335d3211902c0f07f00f069947f95cf97054300b223b</t>
        </is>
      </c>
      <c r="B282" t="n">
        <v>0.1207</v>
      </c>
      <c r="C282" t="n">
        <v>0.6942</v>
      </c>
      <c r="D282" t="n">
        <v>89.17</v>
      </c>
      <c r="E282" t="n">
        <v>78.41</v>
      </c>
      <c r="F282" t="n">
        <v>271.52</v>
      </c>
      <c r="G282" t="n">
        <v>-193.11</v>
      </c>
      <c r="H282" t="inlineStr">
        <is>
          <t>Medium Profitability</t>
        </is>
      </c>
    </row>
    <row r="283">
      <c r="A283" s="17" t="inlineStr">
        <is>
          <t>662681c2af90145eacd1de6de9dc0056c967240783903455570eba6d397c7b7b</t>
        </is>
      </c>
      <c r="B283" s="17" t="n">
        <v>0.9868</v>
      </c>
      <c r="C283" s="17" t="n">
        <v>0.9341</v>
      </c>
      <c r="D283" s="17" t="n">
        <v>111</v>
      </c>
      <c r="E283" s="17" t="n">
        <v>1.46</v>
      </c>
      <c r="F283" s="17" t="n">
        <v>2220.35</v>
      </c>
      <c r="G283" s="17" t="n">
        <v>-2218.89</v>
      </c>
      <c r="H283" s="17" t="inlineStr">
        <is>
          <t>Low Profitability</t>
        </is>
      </c>
    </row>
    <row r="284">
      <c r="A284" s="17" t="inlineStr">
        <is>
          <t>0fdbf915d1a81f603bfaf728de6af064b38fdd465465ba33d470bedda757999c</t>
        </is>
      </c>
      <c r="B284" s="17" t="n">
        <v>0.9141</v>
      </c>
      <c r="C284" s="17" t="n">
        <v>0.4461</v>
      </c>
      <c r="D284" s="17" t="n">
        <v>66.59</v>
      </c>
      <c r="E284" s="17" t="n">
        <v>5.72</v>
      </c>
      <c r="F284" s="17" t="n">
        <v>2056.75</v>
      </c>
      <c r="G284" s="17" t="n">
        <v>-2051.03</v>
      </c>
      <c r="H284" s="17" t="inlineStr">
        <is>
          <t>Low Profitability</t>
        </is>
      </c>
    </row>
    <row r="285">
      <c r="A285" t="inlineStr">
        <is>
          <t>0cdc4ac276df6aa3a97358e08149be3195dc08b246055bed68ffc0a38228c096</t>
        </is>
      </c>
      <c r="B285" t="n">
        <v>0.09420000000000001</v>
      </c>
      <c r="C285" t="n">
        <v>0.0367</v>
      </c>
      <c r="D285" t="n">
        <v>29.34</v>
      </c>
      <c r="E285" t="n">
        <v>26.58</v>
      </c>
      <c r="F285" t="n">
        <v>212.02</v>
      </c>
      <c r="G285" t="n">
        <v>-185.44</v>
      </c>
      <c r="H285" t="inlineStr">
        <is>
          <t>Medium Profitability</t>
        </is>
      </c>
    </row>
    <row r="286">
      <c r="A286" s="18" t="inlineStr">
        <is>
          <t>a2bd7b7cab5469662c6b8487b328151b06389c6355ddea2f7a4f9e49c2564311</t>
        </is>
      </c>
      <c r="B286" s="18" t="n">
        <v>0.0345</v>
      </c>
      <c r="C286" s="18" t="n">
        <v>0.9288999999999999</v>
      </c>
      <c r="D286" s="18" t="n">
        <v>110.53</v>
      </c>
      <c r="E286" s="18" t="n">
        <v>106.72</v>
      </c>
      <c r="F286" s="18" t="n">
        <v>77.61</v>
      </c>
      <c r="G286" s="18" t="n">
        <v>29.11</v>
      </c>
      <c r="H286" s="18" t="inlineStr">
        <is>
          <t>High Profitability</t>
        </is>
      </c>
    </row>
    <row r="287">
      <c r="A287" s="17" t="inlineStr">
        <is>
          <t>988ec31964b22fd01ddcd06c1506e8b093249d29e4aa6833668f560bae59fa8e</t>
        </is>
      </c>
      <c r="B287" s="17" t="n">
        <v>0.4113</v>
      </c>
      <c r="C287" s="17" t="n">
        <v>0.7156</v>
      </c>
      <c r="D287" s="17" t="n">
        <v>91.12</v>
      </c>
      <c r="E287" s="17" t="n">
        <v>53.65</v>
      </c>
      <c r="F287" s="17" t="n">
        <v>925.39</v>
      </c>
      <c r="G287" s="17" t="n">
        <v>-871.74</v>
      </c>
      <c r="H287" s="17" t="inlineStr">
        <is>
          <t>Low Profitability</t>
        </is>
      </c>
    </row>
    <row r="288">
      <c r="A288" s="17" t="inlineStr">
        <is>
          <t>92c1f6ba5922fa96fdc0c0797ce08e39e3c760da012d9f74bf25eccdff65f693</t>
        </is>
      </c>
      <c r="B288" s="17" t="n">
        <v>0.6195000000000001</v>
      </c>
      <c r="C288" s="17" t="n">
        <v>0.7272</v>
      </c>
      <c r="D288" s="17" t="n">
        <v>92.18000000000001</v>
      </c>
      <c r="E288" s="17" t="n">
        <v>35.08</v>
      </c>
      <c r="F288" s="17" t="n">
        <v>1393.77</v>
      </c>
      <c r="G288" s="17" t="n">
        <v>-1358.69</v>
      </c>
      <c r="H288" s="17" t="inlineStr">
        <is>
          <t>Low Profitability</t>
        </is>
      </c>
    </row>
    <row r="289">
      <c r="A289" s="17" t="inlineStr">
        <is>
          <t>bbf7bc65dc6516e3372679e205a313d6ee1bb1f75d9c5195f8979beed80e1289</t>
        </is>
      </c>
      <c r="B289" s="17" t="n">
        <v>0.6496</v>
      </c>
      <c r="C289" s="17" t="n">
        <v>0.3471</v>
      </c>
      <c r="D289" s="17" t="n">
        <v>57.59</v>
      </c>
      <c r="E289" s="17" t="n">
        <v>20.18</v>
      </c>
      <c r="F289" s="17" t="n">
        <v>1461.63</v>
      </c>
      <c r="G289" s="17" t="n">
        <v>-1441.46</v>
      </c>
      <c r="H289" s="17" t="inlineStr">
        <is>
          <t>Low Profitability</t>
        </is>
      </c>
    </row>
    <row r="290">
      <c r="A290" s="18" t="inlineStr">
        <is>
          <t>67dfc6e7bac1c527a1123d851cb47c8e4441eb079da7626bf9046febd0691b33</t>
        </is>
      </c>
      <c r="B290" s="18" t="n">
        <v>0.0168</v>
      </c>
      <c r="C290" s="18" t="n">
        <v>0.0535</v>
      </c>
      <c r="D290" s="18" t="n">
        <v>30.87</v>
      </c>
      <c r="E290" s="18" t="n">
        <v>30.35</v>
      </c>
      <c r="F290" s="18" t="n">
        <v>37.77</v>
      </c>
      <c r="G290" s="18" t="n">
        <v>-7.42</v>
      </c>
      <c r="H290" s="18" t="inlineStr">
        <is>
          <t>High Profitability</t>
        </is>
      </c>
    </row>
    <row r="291">
      <c r="A291" s="18" t="inlineStr">
        <is>
          <t>756cb9be68a06a3c4956207b45c1ce2bde7211b721699eb13abf55b4a0a11442</t>
        </is>
      </c>
      <c r="B291" s="18" t="n">
        <v>0.0036</v>
      </c>
      <c r="C291" s="18" t="n">
        <v>0.0234</v>
      </c>
      <c r="D291" s="18" t="n">
        <v>28.13</v>
      </c>
      <c r="E291" s="18" t="n">
        <v>28.03</v>
      </c>
      <c r="F291" s="18" t="n">
        <v>8.210000000000001</v>
      </c>
      <c r="G291" s="18" t="n">
        <v>19.82</v>
      </c>
      <c r="H291" s="18" t="inlineStr">
        <is>
          <t>High Profitability</t>
        </is>
      </c>
    </row>
    <row r="292">
      <c r="A292" s="17" t="inlineStr">
        <is>
          <t>3e4f4e6b1c62a8bee14296edc810eb6641d1e9608669d9f6ab341c858a464385</t>
        </is>
      </c>
      <c r="B292" s="17" t="n">
        <v>0.4633</v>
      </c>
      <c r="C292" s="17" t="n">
        <v>0.9327</v>
      </c>
      <c r="D292" s="17" t="n">
        <v>110.88</v>
      </c>
      <c r="E292" s="17" t="n">
        <v>59.51</v>
      </c>
      <c r="F292" s="17" t="n">
        <v>1042.41</v>
      </c>
      <c r="G292" s="17" t="n">
        <v>-982.91</v>
      </c>
      <c r="H292" s="17" t="inlineStr">
        <is>
          <t>Low Profitability</t>
        </is>
      </c>
    </row>
    <row r="293">
      <c r="A293" s="17" t="inlineStr">
        <is>
          <t>887302063e456e8aa18e3395371435d7439c304949a6f2f3d9eadd15cb39b5c9</t>
        </is>
      </c>
      <c r="B293" s="17" t="n">
        <v>0.9639</v>
      </c>
      <c r="C293" s="17" t="n">
        <v>0.8575</v>
      </c>
      <c r="D293" s="17" t="n">
        <v>104.04</v>
      </c>
      <c r="E293" s="17" t="n">
        <v>3.76</v>
      </c>
      <c r="F293" s="17" t="n">
        <v>2168.78</v>
      </c>
      <c r="G293" s="17" t="n">
        <v>-2165.02</v>
      </c>
      <c r="H293" s="17" t="inlineStr">
        <is>
          <t>Low Profitability</t>
        </is>
      </c>
    </row>
    <row r="294">
      <c r="A294" s="17" t="inlineStr">
        <is>
          <t>4cfc577ba937f626db15b38c3fbc12ddc58ce86b20f146b17d0468c7b2ff1795</t>
        </is>
      </c>
      <c r="B294" s="17" t="n">
        <v>0.9048</v>
      </c>
      <c r="C294" s="17" t="n">
        <v>0.2961</v>
      </c>
      <c r="D294" s="17" t="n">
        <v>52.95</v>
      </c>
      <c r="E294" s="17" t="n">
        <v>5.04</v>
      </c>
      <c r="F294" s="17" t="n">
        <v>2035.71</v>
      </c>
      <c r="G294" s="17" t="n">
        <v>-2030.66</v>
      </c>
      <c r="H294" s="17" t="inlineStr">
        <is>
          <t>Low Profitability</t>
        </is>
      </c>
    </row>
    <row r="295">
      <c r="A295" t="inlineStr">
        <is>
          <t>04f18103e14827366db04fa0e2330576c1b4a0f3a0738103fb7b912ecb5bf72e</t>
        </is>
      </c>
      <c r="B295" t="n">
        <v>0.1758</v>
      </c>
      <c r="C295" t="n">
        <v>0.3064</v>
      </c>
      <c r="D295" t="n">
        <v>53.88</v>
      </c>
      <c r="E295" t="n">
        <v>44.41</v>
      </c>
      <c r="F295" t="n">
        <v>395.5</v>
      </c>
      <c r="G295" t="n">
        <v>-351.08</v>
      </c>
      <c r="H295" t="inlineStr">
        <is>
          <t>Medium Profitability</t>
        </is>
      </c>
    </row>
    <row r="296">
      <c r="A296" t="inlineStr">
        <is>
          <t>b7e7b6d1a99f2b162ae5339661ec3d0eb38415cade1c7ec25b3d623e74583483</t>
        </is>
      </c>
      <c r="B296" t="n">
        <v>0.103</v>
      </c>
      <c r="C296" t="n">
        <v>0.1564</v>
      </c>
      <c r="D296" t="n">
        <v>40.23</v>
      </c>
      <c r="E296" t="n">
        <v>36.09</v>
      </c>
      <c r="F296" t="n">
        <v>231.67</v>
      </c>
      <c r="G296" t="n">
        <v>-195.59</v>
      </c>
      <c r="H296" t="inlineStr">
        <is>
          <t>Medium Profitability</t>
        </is>
      </c>
    </row>
    <row r="297">
      <c r="A297" t="inlineStr">
        <is>
          <t>6d8b9f34fc9b51d9662e8348b3ad4d0a77ab3dd8d17630e474fcf64f845b3301</t>
        </is>
      </c>
      <c r="B297" t="n">
        <v>0.1173</v>
      </c>
      <c r="C297" t="n">
        <v>0.9494</v>
      </c>
      <c r="D297" t="n">
        <v>112.4</v>
      </c>
      <c r="E297" t="n">
        <v>99.22</v>
      </c>
      <c r="F297" t="n">
        <v>263.89</v>
      </c>
      <c r="G297" t="n">
        <v>-164.68</v>
      </c>
      <c r="H297" t="inlineStr">
        <is>
          <t>Medium Profitability</t>
        </is>
      </c>
    </row>
    <row r="298">
      <c r="A298" s="17" t="inlineStr">
        <is>
          <t>dce8eb749fa50c1d3205311cb62b0c35f70348d700ab5ef31278272547888910</t>
        </is>
      </c>
      <c r="B298" s="17" t="n">
        <v>0.6123</v>
      </c>
      <c r="C298" s="17" t="n">
        <v>0.2371</v>
      </c>
      <c r="D298" s="17" t="n">
        <v>47.57</v>
      </c>
      <c r="E298" s="17" t="n">
        <v>18.44</v>
      </c>
      <c r="F298" s="17" t="n">
        <v>1377.72</v>
      </c>
      <c r="G298" s="17" t="n">
        <v>-1359.27</v>
      </c>
      <c r="H298" s="17" t="inlineStr">
        <is>
          <t>Low Profitability</t>
        </is>
      </c>
    </row>
    <row r="299">
      <c r="A299" s="18" t="inlineStr">
        <is>
          <t>bc75ac6c828ae88d25184289bee3ca973ea96e9dadf7f723cb896213cb2eb9dc</t>
        </is>
      </c>
      <c r="B299" s="18" t="n">
        <v>0.0134</v>
      </c>
      <c r="C299" s="18" t="n">
        <v>0.039</v>
      </c>
      <c r="D299" s="18" t="n">
        <v>29.55</v>
      </c>
      <c r="E299" s="18" t="n">
        <v>29.16</v>
      </c>
      <c r="F299" s="18" t="n">
        <v>30.15</v>
      </c>
      <c r="G299" s="18" t="n">
        <v>-0.99</v>
      </c>
      <c r="H299" s="18" t="inlineStr">
        <is>
          <t>High Profitability</t>
        </is>
      </c>
    </row>
    <row r="300">
      <c r="A300" s="18" t="inlineStr">
        <is>
          <t>38b2776d71925bb71f9562e0558b45a01a1fcb2cf5f8db18079c9ed34c221d74</t>
        </is>
      </c>
      <c r="B300" s="18" t="n">
        <v>0.0016</v>
      </c>
      <c r="C300" s="18" t="n">
        <v>0.1459</v>
      </c>
      <c r="D300" s="18" t="n">
        <v>39.27</v>
      </c>
      <c r="E300" s="18" t="n">
        <v>39.21</v>
      </c>
      <c r="F300" s="18" t="n">
        <v>3.53</v>
      </c>
      <c r="G300" s="18" t="n">
        <v>35.69</v>
      </c>
      <c r="H300" s="18" t="inlineStr">
        <is>
          <t>High Profitability</t>
        </is>
      </c>
    </row>
    <row r="301">
      <c r="A301" t="inlineStr">
        <is>
          <t>b1c4ae6a0bfa699187f23f45dc416ee9b0daad968185313badf60c9e836ec042</t>
        </is>
      </c>
      <c r="B301" t="n">
        <v>0.1353</v>
      </c>
      <c r="C301" t="n">
        <v>0.662</v>
      </c>
      <c r="D301" t="n">
        <v>86.25</v>
      </c>
      <c r="E301" t="n">
        <v>74.58</v>
      </c>
      <c r="F301" t="n">
        <v>304.33</v>
      </c>
      <c r="G301" t="n">
        <v>-229.75</v>
      </c>
      <c r="H301" t="inlineStr">
        <is>
          <t>Medium Profitability</t>
        </is>
      </c>
    </row>
    <row r="302">
      <c r="A302" s="18" t="inlineStr">
        <is>
          <t>aa06a61f3adc0d0eccf6f664134df50453c8018a29c64345764412877bcf1a3a</t>
        </is>
      </c>
      <c r="B302" s="18" t="n">
        <v>0.002</v>
      </c>
      <c r="C302" s="18" t="n">
        <v>0.6464</v>
      </c>
      <c r="D302" s="18" t="n">
        <v>84.81999999999999</v>
      </c>
      <c r="E302" s="18" t="n">
        <v>84.65000000000001</v>
      </c>
      <c r="F302" s="18" t="n">
        <v>4.57</v>
      </c>
      <c r="G302" s="18" t="n">
        <v>80.08</v>
      </c>
      <c r="H302" s="18" t="inlineStr">
        <is>
          <t>High Profitability</t>
        </is>
      </c>
    </row>
    <row r="303">
      <c r="A303" t="inlineStr">
        <is>
          <t>92ff2cc82153b9d111aa3870d8232739d19e6b9ea41a696b4928859c5821c2d0</t>
        </is>
      </c>
      <c r="B303" t="n">
        <v>0.0919</v>
      </c>
      <c r="C303" t="n">
        <v>0.5197000000000001</v>
      </c>
      <c r="D303" t="n">
        <v>73.29000000000001</v>
      </c>
      <c r="E303" t="n">
        <v>66.56</v>
      </c>
      <c r="F303" t="n">
        <v>206.72</v>
      </c>
      <c r="G303" t="n">
        <v>-140.16</v>
      </c>
      <c r="H303" t="inlineStr">
        <is>
          <t>Medium Profitability</t>
        </is>
      </c>
    </row>
    <row r="304">
      <c r="A304" t="inlineStr">
        <is>
          <t>9523ecb61c47f367a265ef380a4a3d4d9632d3aa588516d8d082ef0d3d478cfd</t>
        </is>
      </c>
      <c r="B304" t="n">
        <v>0.089</v>
      </c>
      <c r="C304" t="n">
        <v>0.0985</v>
      </c>
      <c r="D304" t="n">
        <v>34.96</v>
      </c>
      <c r="E304" t="n">
        <v>31.85</v>
      </c>
      <c r="F304" t="n">
        <v>200.22</v>
      </c>
      <c r="G304" t="n">
        <v>-168.37</v>
      </c>
      <c r="H304" t="inlineStr">
        <is>
          <t>Medium Profitability</t>
        </is>
      </c>
    </row>
    <row r="305">
      <c r="A305" s="18" t="inlineStr">
        <is>
          <t>6e90eef5e776a26d18c6f254bbf5d029bb54d364b4f4a2336d6cd66e8f083b2b</t>
        </is>
      </c>
      <c r="B305" s="18" t="n">
        <v>0.0022</v>
      </c>
      <c r="C305" s="18" t="n">
        <v>0.5915</v>
      </c>
      <c r="D305" s="18" t="n">
        <v>79.81999999999999</v>
      </c>
      <c r="E305" s="18" t="n">
        <v>79.65000000000001</v>
      </c>
      <c r="F305" s="18" t="n">
        <v>4.94</v>
      </c>
      <c r="G305" s="18" t="n">
        <v>74.70999999999999</v>
      </c>
      <c r="H305" s="18" t="inlineStr">
        <is>
          <t>High Profitability</t>
        </is>
      </c>
    </row>
    <row r="306">
      <c r="A306" s="17" t="inlineStr">
        <is>
          <t>f11bab1f6f2d0ce85f7ee5c839e444ba97cc4b42ce26a91f91d1fb73e276c06b</t>
        </is>
      </c>
      <c r="B306" s="17" t="n">
        <v>0.537</v>
      </c>
      <c r="C306" s="17" t="n">
        <v>0.283</v>
      </c>
      <c r="D306" s="17" t="n">
        <v>51.75</v>
      </c>
      <c r="E306" s="17" t="n">
        <v>23.96</v>
      </c>
      <c r="F306" s="17" t="n">
        <v>1208.18</v>
      </c>
      <c r="G306" s="17" t="n">
        <v>-1184.22</v>
      </c>
      <c r="H306" s="17" t="inlineStr">
        <is>
          <t>Low Profitability</t>
        </is>
      </c>
    </row>
    <row r="307">
      <c r="A307" t="inlineStr">
        <is>
          <t>c831dadb9930368a76f9b074c172fff13b4a53ae19491a019f600e3ae76974d5</t>
        </is>
      </c>
      <c r="B307" t="n">
        <v>0.0997</v>
      </c>
      <c r="C307" t="n">
        <v>0.1851</v>
      </c>
      <c r="D307" t="n">
        <v>42.84</v>
      </c>
      <c r="E307" t="n">
        <v>38.57</v>
      </c>
      <c r="F307" t="n">
        <v>224.43</v>
      </c>
      <c r="G307" t="n">
        <v>-185.86</v>
      </c>
      <c r="H307" t="inlineStr">
        <is>
          <t>Medium Profitability</t>
        </is>
      </c>
    </row>
    <row r="308">
      <c r="A308" s="17" t="inlineStr">
        <is>
          <t>7638779600c2377cda2cef2c8da97de85798dc3a59d38de9bb2c9d786ae0d820</t>
        </is>
      </c>
      <c r="B308" s="17" t="n">
        <v>0.9219000000000001</v>
      </c>
      <c r="C308" s="17" t="n">
        <v>0.6183999999999999</v>
      </c>
      <c r="D308" s="17" t="n">
        <v>82.28</v>
      </c>
      <c r="E308" s="17" t="n">
        <v>6.43</v>
      </c>
      <c r="F308" s="17" t="n">
        <v>2074.19</v>
      </c>
      <c r="G308" s="17" t="n">
        <v>-2067.77</v>
      </c>
      <c r="H308" s="17" t="inlineStr">
        <is>
          <t>Low Profitability</t>
        </is>
      </c>
    </row>
    <row r="309">
      <c r="A309" s="18" t="inlineStr">
        <is>
          <t>f8f9673b8ac379107dff7c087b117a44bceb2efefeece38cef2fcbc97ac1f9bf</t>
        </is>
      </c>
      <c r="B309" s="18" t="n">
        <v>0.0039</v>
      </c>
      <c r="C309" s="18" t="n">
        <v>0.7504</v>
      </c>
      <c r="D309" s="18" t="n">
        <v>94.29000000000001</v>
      </c>
      <c r="E309" s="18" t="n">
        <v>93.92</v>
      </c>
      <c r="F309" s="18" t="n">
        <v>8.720000000000001</v>
      </c>
      <c r="G309" s="18" t="n">
        <v>85.2</v>
      </c>
      <c r="H309" s="18" t="inlineStr">
        <is>
          <t>High Profitability</t>
        </is>
      </c>
    </row>
    <row r="310">
      <c r="A310" s="17" t="inlineStr">
        <is>
          <t>db2a53297e643b81bb9dabeb2c0c0d2ed68111a6ac2dad6633ffa844cade0c53</t>
        </is>
      </c>
      <c r="B310" s="17" t="n">
        <v>0.7262</v>
      </c>
      <c r="C310" s="17" t="n">
        <v>0.3133</v>
      </c>
      <c r="D310" s="17" t="n">
        <v>54.51</v>
      </c>
      <c r="E310" s="17" t="n">
        <v>14.92</v>
      </c>
      <c r="F310" s="17" t="n">
        <v>1634.02</v>
      </c>
      <c r="G310" s="17" t="n">
        <v>-1619.1</v>
      </c>
      <c r="H310" s="17" t="inlineStr">
        <is>
          <t>Low Profitability</t>
        </is>
      </c>
    </row>
    <row r="311">
      <c r="A311" t="inlineStr">
        <is>
          <t>a160ee59f7c35a804a86185f27c556caab0715b605504dc937a875daaeb11094</t>
        </is>
      </c>
      <c r="B311" t="n">
        <v>0.111</v>
      </c>
      <c r="C311" t="n">
        <v>0.3066</v>
      </c>
      <c r="D311" t="n">
        <v>53.9</v>
      </c>
      <c r="E311" t="n">
        <v>47.92</v>
      </c>
      <c r="F311" t="n">
        <v>249.78</v>
      </c>
      <c r="G311" t="n">
        <v>-201.86</v>
      </c>
      <c r="H311" t="inlineStr">
        <is>
          <t>Medium Profitability</t>
        </is>
      </c>
    </row>
    <row r="312">
      <c r="A312" t="inlineStr">
        <is>
          <t>b44d0c8ac6c956a7758d16bd5d22371899c0265057a7da5e2d3f689659357e47</t>
        </is>
      </c>
      <c r="B312" t="n">
        <v>0.2713</v>
      </c>
      <c r="C312" t="n">
        <v>0.9923999999999999</v>
      </c>
      <c r="D312" t="n">
        <v>116.31</v>
      </c>
      <c r="E312" t="n">
        <v>84.76000000000001</v>
      </c>
      <c r="F312" t="n">
        <v>610.39</v>
      </c>
      <c r="G312" t="n">
        <v>-525.63</v>
      </c>
      <c r="H312" t="inlineStr">
        <is>
          <t>Medium Profitability</t>
        </is>
      </c>
    </row>
    <row r="313">
      <c r="A313" s="17" t="inlineStr">
        <is>
          <t>c9b1c03e87ee8a643abfa08f2cf33c103929ba5c8dffab3703963462e9760864</t>
        </is>
      </c>
      <c r="B313" s="17" t="n">
        <v>0.3834</v>
      </c>
      <c r="C313" s="17" t="n">
        <v>0.4461</v>
      </c>
      <c r="D313" s="17" t="n">
        <v>66.59</v>
      </c>
      <c r="E313" s="17" t="n">
        <v>41.06</v>
      </c>
      <c r="F313" s="17" t="n">
        <v>862.72</v>
      </c>
      <c r="G313" s="17" t="n">
        <v>-821.66</v>
      </c>
      <c r="H313" s="17" t="inlineStr">
        <is>
          <t>Low Profitability</t>
        </is>
      </c>
    </row>
    <row r="314">
      <c r="A314" s="17" t="inlineStr">
        <is>
          <t>ba9e5a0ab4d3b150326d85eea999f8b2b09b88e2ee33958708eba6081a7df5ab</t>
        </is>
      </c>
      <c r="B314" s="17" t="n">
        <v>0.7661</v>
      </c>
      <c r="C314" s="17" t="n">
        <v>0.9443</v>
      </c>
      <c r="D314" s="17" t="n">
        <v>111.93</v>
      </c>
      <c r="E314" s="17" t="n">
        <v>26.19</v>
      </c>
      <c r="F314" s="17" t="n">
        <v>1723.66</v>
      </c>
      <c r="G314" s="17" t="n">
        <v>-1697.47</v>
      </c>
      <c r="H314" s="17" t="inlineStr">
        <is>
          <t>Low Profitability</t>
        </is>
      </c>
    </row>
    <row r="315">
      <c r="A315" s="17" t="inlineStr">
        <is>
          <t>791964e182de07196e6ea26d13b30e67502bfb36354ac3a9cf047b1c4a924b78</t>
        </is>
      </c>
      <c r="B315" s="17" t="n">
        <v>0.9637</v>
      </c>
      <c r="C315" s="17" t="n">
        <v>0.7174</v>
      </c>
      <c r="D315" s="17" t="n">
        <v>91.28</v>
      </c>
      <c r="E315" s="17" t="n">
        <v>3.31</v>
      </c>
      <c r="F315" s="17" t="n">
        <v>2168.37</v>
      </c>
      <c r="G315" s="17" t="n">
        <v>-2165.06</v>
      </c>
      <c r="H315" s="17" t="inlineStr">
        <is>
          <t>Low Profitability</t>
        </is>
      </c>
    </row>
    <row r="316">
      <c r="A316" s="18" t="inlineStr">
        <is>
          <t>bf8a134f94a831cfdeeced6e714f459af90396acaaa57000791ec3d0ef1b12f3</t>
        </is>
      </c>
      <c r="B316" s="18" t="n">
        <v>0.0014</v>
      </c>
      <c r="C316" s="18" t="n">
        <v>0.9177</v>
      </c>
      <c r="D316" s="18" t="n">
        <v>109.51</v>
      </c>
      <c r="E316" s="18" t="n">
        <v>109.36</v>
      </c>
      <c r="F316" s="18" t="n">
        <v>3.19</v>
      </c>
      <c r="G316" s="18" t="n">
        <v>106.17</v>
      </c>
      <c r="H316" s="18" t="inlineStr">
        <is>
          <t>High Profitability</t>
        </is>
      </c>
    </row>
    <row r="317">
      <c r="A317" s="17" t="inlineStr">
        <is>
          <t>e378a059a6494218a255546fc5a95b35c46c910edd1c53be24fae894a0367ff0</t>
        </is>
      </c>
      <c r="B317" s="17" t="n">
        <v>0.4003</v>
      </c>
      <c r="C317" s="17" t="n">
        <v>0.731</v>
      </c>
      <c r="D317" s="17" t="n">
        <v>92.52</v>
      </c>
      <c r="E317" s="17" t="n">
        <v>55.48</v>
      </c>
      <c r="F317" s="17" t="n">
        <v>900.73</v>
      </c>
      <c r="G317" s="17" t="n">
        <v>-845.24</v>
      </c>
      <c r="H317" s="17" t="inlineStr">
        <is>
          <t>Low Profitability</t>
        </is>
      </c>
    </row>
    <row r="318">
      <c r="A318" t="inlineStr">
        <is>
          <t>3ab34818f8322d55aec4a0bf41b9af0f18c7b2040c7aee17349daa0c19089ced</t>
        </is>
      </c>
      <c r="B318" t="n">
        <v>0.1182</v>
      </c>
      <c r="C318" t="n">
        <v>0.6016</v>
      </c>
      <c r="D318" t="n">
        <v>80.75</v>
      </c>
      <c r="E318" t="n">
        <v>71.20999999999999</v>
      </c>
      <c r="F318" t="n">
        <v>265.91</v>
      </c>
      <c r="G318" t="n">
        <v>-194.71</v>
      </c>
      <c r="H318" t="inlineStr">
        <is>
          <t>Medium Profitability</t>
        </is>
      </c>
    </row>
    <row r="319">
      <c r="A319" s="18" t="inlineStr">
        <is>
          <t>82bbe9ff3b5bb0d2334bde77b218096a55399c7db682661d001e028974046ff0</t>
        </is>
      </c>
      <c r="B319" s="18" t="n">
        <v>0.0029</v>
      </c>
      <c r="C319" s="18" t="n">
        <v>0.2748</v>
      </c>
      <c r="D319" s="18" t="n">
        <v>51.01</v>
      </c>
      <c r="E319" s="18" t="n">
        <v>50.86</v>
      </c>
      <c r="F319" s="18" t="n">
        <v>6.5</v>
      </c>
      <c r="G319" s="18" t="n">
        <v>44.36</v>
      </c>
      <c r="H319" s="18" t="inlineStr">
        <is>
          <t>High Profitability</t>
        </is>
      </c>
    </row>
    <row r="320">
      <c r="A320" t="inlineStr">
        <is>
          <t>e5d50384aaeb2c813d58e8bf40d89722b39adccb998a355867beb6086277b8fb</t>
        </is>
      </c>
      <c r="B320" t="n">
        <v>0.08400000000000001</v>
      </c>
      <c r="C320" t="n">
        <v>0.3868</v>
      </c>
      <c r="D320" t="n">
        <v>61.2</v>
      </c>
      <c r="E320" t="n">
        <v>56.06</v>
      </c>
      <c r="F320" t="n">
        <v>188.9</v>
      </c>
      <c r="G320" t="n">
        <v>-132.84</v>
      </c>
      <c r="H320" t="inlineStr">
        <is>
          <t>Medium Profitability</t>
        </is>
      </c>
    </row>
    <row r="321">
      <c r="A321" s="17" t="inlineStr">
        <is>
          <t>cbb968c28b9b05c57bc84e2f01f90caa30f827efca3254482d7507d7f3fc791f</t>
        </is>
      </c>
      <c r="B321" s="17" t="n">
        <v>0.4964</v>
      </c>
      <c r="C321" s="17" t="n">
        <v>0.8481</v>
      </c>
      <c r="D321" s="17" t="n">
        <v>103.18</v>
      </c>
      <c r="E321" s="17" t="n">
        <v>51.97</v>
      </c>
      <c r="F321" s="17" t="n">
        <v>1116.84</v>
      </c>
      <c r="G321" s="17" t="n">
        <v>-1064.87</v>
      </c>
      <c r="H321" s="17" t="inlineStr">
        <is>
          <t>Low Profitability</t>
        </is>
      </c>
    </row>
    <row r="322">
      <c r="A322" t="inlineStr">
        <is>
          <t>0a68ee092f215006d48ded61dabc4628c28417020dfe4840180f8389ee1800f9</t>
        </is>
      </c>
      <c r="B322" t="n">
        <v>0.1036</v>
      </c>
      <c r="C322" t="n">
        <v>0.5682</v>
      </c>
      <c r="D322" t="n">
        <v>77.70999999999999</v>
      </c>
      <c r="E322" t="n">
        <v>69.66</v>
      </c>
      <c r="F322" t="n">
        <v>233.02</v>
      </c>
      <c r="G322" t="n">
        <v>-163.37</v>
      </c>
      <c r="H322" t="inlineStr">
        <is>
          <t>Medium Profitability</t>
        </is>
      </c>
    </row>
    <row r="323">
      <c r="A323" s="18" t="inlineStr">
        <is>
          <t>3127fbb48f9e7896395efec171199b02afe29f339888ae1a07832ca57fdb6387</t>
        </is>
      </c>
      <c r="B323" s="18" t="n">
        <v>0.0018</v>
      </c>
      <c r="C323" s="18" t="n">
        <v>0.9391</v>
      </c>
      <c r="D323" s="18" t="n">
        <v>111.45</v>
      </c>
      <c r="E323" s="18" t="n">
        <v>111.25</v>
      </c>
      <c r="F323" s="18" t="n">
        <v>4.13</v>
      </c>
      <c r="G323" s="18" t="n">
        <v>107.12</v>
      </c>
      <c r="H323" s="18" t="inlineStr">
        <is>
          <t>High Profitability</t>
        </is>
      </c>
    </row>
    <row r="324">
      <c r="A324" s="17" t="inlineStr">
        <is>
          <t>66803b023b3c53f07fd69350486c2cfef2086f63963a7e735dfbe7488368b3b3</t>
        </is>
      </c>
      <c r="B324" s="17" t="n">
        <v>0.709</v>
      </c>
      <c r="C324" s="17" t="n">
        <v>0.9099</v>
      </c>
      <c r="D324" s="17" t="n">
        <v>108.8</v>
      </c>
      <c r="E324" s="17" t="n">
        <v>31.66</v>
      </c>
      <c r="F324" s="17" t="n">
        <v>1595.34</v>
      </c>
      <c r="G324" s="17" t="n">
        <v>-1563.68</v>
      </c>
      <c r="H324" s="17" t="inlineStr">
        <is>
          <t>Low Profitability</t>
        </is>
      </c>
    </row>
    <row r="325">
      <c r="A325" s="17" t="inlineStr">
        <is>
          <t>a99b2ccb1d295a0673996766e0da901ff2390445ce4ad03f09926772b03d1d39</t>
        </is>
      </c>
      <c r="B325" s="17" t="n">
        <v>0.8636</v>
      </c>
      <c r="C325" s="17" t="n">
        <v>0.4544</v>
      </c>
      <c r="D325" s="17" t="n">
        <v>67.34999999999999</v>
      </c>
      <c r="E325" s="17" t="n">
        <v>9.19</v>
      </c>
      <c r="F325" s="17" t="n">
        <v>1943.09</v>
      </c>
      <c r="G325" s="17" t="n">
        <v>-1933.91</v>
      </c>
      <c r="H325" s="17" t="inlineStr">
        <is>
          <t>Low Profitability</t>
        </is>
      </c>
    </row>
    <row r="326">
      <c r="A326" s="17" t="inlineStr">
        <is>
          <t>7742cdace5afb92a9735a3d31631c6cd19bf022c50b519503f1091b4b2240651</t>
        </is>
      </c>
      <c r="B326" s="17" t="n">
        <v>0.9308</v>
      </c>
      <c r="C326" s="17" t="n">
        <v>0.0617</v>
      </c>
      <c r="D326" s="17" t="n">
        <v>31.61</v>
      </c>
      <c r="E326" s="17" t="n">
        <v>2.19</v>
      </c>
      <c r="F326" s="17" t="n">
        <v>2094.2</v>
      </c>
      <c r="G326" s="17" t="n">
        <v>-2092.01</v>
      </c>
      <c r="H326" s="17" t="inlineStr">
        <is>
          <t>Low Profitability</t>
        </is>
      </c>
    </row>
    <row r="327">
      <c r="A327" s="17" t="inlineStr">
        <is>
          <t>230b39d3b0b622b692798ff43492a123955812c24ce1488e9cd64f350ed6b7b1</t>
        </is>
      </c>
      <c r="B327" s="17" t="n">
        <v>0.8405</v>
      </c>
      <c r="C327" s="17" t="n">
        <v>0.7572</v>
      </c>
      <c r="D327" s="17" t="n">
        <v>94.90000000000001</v>
      </c>
      <c r="E327" s="17" t="n">
        <v>15.14</v>
      </c>
      <c r="F327" s="17" t="n">
        <v>1891.09</v>
      </c>
      <c r="G327" s="17" t="n">
        <v>-1875.95</v>
      </c>
      <c r="H327" s="17" t="inlineStr">
        <is>
          <t>Low Profitability</t>
        </is>
      </c>
    </row>
    <row r="328">
      <c r="A328" t="inlineStr">
        <is>
          <t>a987e84409092b42839d8fed5d0cb689a6e0bc182b8511b18ea3a2f7c07c31ba</t>
        </is>
      </c>
      <c r="B328" t="n">
        <v>0.2661</v>
      </c>
      <c r="C328" t="n">
        <v>0.6681</v>
      </c>
      <c r="D328" t="n">
        <v>86.8</v>
      </c>
      <c r="E328" t="n">
        <v>63.7</v>
      </c>
      <c r="F328" t="n">
        <v>598.66</v>
      </c>
      <c r="G328" t="n">
        <v>-534.96</v>
      </c>
      <c r="H328" t="inlineStr">
        <is>
          <t>Medium Profitability</t>
        </is>
      </c>
    </row>
    <row r="329">
      <c r="A329" s="17" t="inlineStr">
        <is>
          <t>d6988ac671d04489bdec5bf14f652b88b94531f1796047cd71f0a13d4b10dd09</t>
        </is>
      </c>
      <c r="B329" s="17" t="n">
        <v>0.7262</v>
      </c>
      <c r="C329" s="17" t="n">
        <v>0.6029</v>
      </c>
      <c r="D329" s="17" t="n">
        <v>80.86</v>
      </c>
      <c r="E329" s="17" t="n">
        <v>22.14</v>
      </c>
      <c r="F329" s="17" t="n">
        <v>1634.05</v>
      </c>
      <c r="G329" s="17" t="n">
        <v>-1611.91</v>
      </c>
      <c r="H329" s="17" t="inlineStr">
        <is>
          <t>Low Profitability</t>
        </is>
      </c>
    </row>
    <row r="330">
      <c r="A330" s="18" t="inlineStr">
        <is>
          <t>5bd4b8c4bd22e79441bba9b3aa84cc95b5182f6f067344ce730317addf8d4326</t>
        </is>
      </c>
      <c r="B330" s="18" t="n">
        <v>0.0776</v>
      </c>
      <c r="C330" s="18" t="n">
        <v>0.8375</v>
      </c>
      <c r="D330" s="18" t="n">
        <v>102.21</v>
      </c>
      <c r="E330" s="18" t="n">
        <v>94.28</v>
      </c>
      <c r="F330" s="18" t="n">
        <v>174.67</v>
      </c>
      <c r="G330" s="18" t="n">
        <v>-80.39</v>
      </c>
      <c r="H330" s="18" t="inlineStr">
        <is>
          <t>High Profitability</t>
        </is>
      </c>
    </row>
    <row r="331">
      <c r="A331" t="inlineStr">
        <is>
          <t>a1824da660f5bc1394d60299fbcc870a361d884c5066ecded6ba25e7b226ef34</t>
        </is>
      </c>
      <c r="B331" t="n">
        <v>0.0907</v>
      </c>
      <c r="C331" t="n">
        <v>0.2333</v>
      </c>
      <c r="D331" t="n">
        <v>47.23</v>
      </c>
      <c r="E331" t="n">
        <v>42.94</v>
      </c>
      <c r="F331" t="n">
        <v>204.01</v>
      </c>
      <c r="G331" t="n">
        <v>-161.07</v>
      </c>
      <c r="H331" t="inlineStr">
        <is>
          <t>Medium Profitability</t>
        </is>
      </c>
    </row>
    <row r="332">
      <c r="A332" s="17" t="inlineStr">
        <is>
          <t>740e2743d4e73d158c8124a30e4e85dd3c0861c605c8b1654834f4ff1968a95a</t>
        </is>
      </c>
      <c r="B332" s="17" t="n">
        <v>0.875</v>
      </c>
      <c r="C332" s="17" t="n">
        <v>0.7478</v>
      </c>
      <c r="D332" s="17" t="n">
        <v>94.05</v>
      </c>
      <c r="E332" s="17" t="n">
        <v>11.75</v>
      </c>
      <c r="F332" s="17" t="n">
        <v>1968.82</v>
      </c>
      <c r="G332" s="17" t="n">
        <v>-1957.07</v>
      </c>
      <c r="H332" s="17" t="inlineStr">
        <is>
          <t>Low Profitability</t>
        </is>
      </c>
    </row>
    <row r="333">
      <c r="A333" s="18" t="inlineStr">
        <is>
          <t>0f228a757dc758bd6c90a3cafb0e470e749698c847b14989af2d259ab6616e37</t>
        </is>
      </c>
      <c r="B333" s="18" t="n">
        <v>0.0018</v>
      </c>
      <c r="C333" s="18" t="n">
        <v>0.1752</v>
      </c>
      <c r="D333" s="18" t="n">
        <v>41.94</v>
      </c>
      <c r="E333" s="18" t="n">
        <v>41.86</v>
      </c>
      <c r="F333" s="18" t="n">
        <v>4.12</v>
      </c>
      <c r="G333" s="18" t="n">
        <v>37.74</v>
      </c>
      <c r="H333" s="18" t="inlineStr">
        <is>
          <t>High Profitability</t>
        </is>
      </c>
    </row>
    <row r="334">
      <c r="A334" s="18" t="inlineStr">
        <is>
          <t>03c58b2f7bff98c63b5d9f089e41631fa04b0e18b46bca3c561252ecfcd28de0</t>
        </is>
      </c>
      <c r="B334" s="18" t="n">
        <v>0.0019</v>
      </c>
      <c r="C334" s="18" t="n">
        <v>0.2359</v>
      </c>
      <c r="D334" s="18" t="n">
        <v>47.46</v>
      </c>
      <c r="E334" s="18" t="n">
        <v>47.38</v>
      </c>
      <c r="F334" s="18" t="n">
        <v>4.2</v>
      </c>
      <c r="G334" s="18" t="n">
        <v>43.18</v>
      </c>
      <c r="H334" s="18" t="inlineStr">
        <is>
          <t>High Profitability</t>
        </is>
      </c>
    </row>
    <row r="335">
      <c r="A335" s="17" t="inlineStr">
        <is>
          <t>047f23c876b94d02f1425a6b343e2c2d32125d2b56e792281f5a0f63bc7dbada</t>
        </is>
      </c>
      <c r="B335" s="17" t="n">
        <v>0.3832</v>
      </c>
      <c r="C335" s="17" t="n">
        <v>0.4654</v>
      </c>
      <c r="D335" s="17" t="n">
        <v>68.34999999999999</v>
      </c>
      <c r="E335" s="17" t="n">
        <v>42.16</v>
      </c>
      <c r="F335" s="17" t="n">
        <v>862.27</v>
      </c>
      <c r="G335" s="17" t="n">
        <v>-820.12</v>
      </c>
      <c r="H335" s="17" t="inlineStr">
        <is>
          <t>Low Profitability</t>
        </is>
      </c>
    </row>
    <row r="336">
      <c r="A336" t="inlineStr">
        <is>
          <t>0b35b8262ffbccdb79a439b280a749c2af4001eda94c43de7fdcc5b2685c9176</t>
        </is>
      </c>
      <c r="B336" t="n">
        <v>0.2011</v>
      </c>
      <c r="C336" t="n">
        <v>0.7904</v>
      </c>
      <c r="D336" t="n">
        <v>97.93000000000001</v>
      </c>
      <c r="E336" t="n">
        <v>78.23</v>
      </c>
      <c r="F336" t="n">
        <v>452.56</v>
      </c>
      <c r="G336" t="n">
        <v>-374.33</v>
      </c>
      <c r="H336" t="inlineStr">
        <is>
          <t>Medium Profitability</t>
        </is>
      </c>
    </row>
    <row r="337">
      <c r="A337" s="17" t="inlineStr">
        <is>
          <t>0c6c4313989eed25fb5ea89242ad54f906902393b4aadc465139bc04d5db6f2c</t>
        </is>
      </c>
      <c r="B337" s="17" t="n">
        <v>0.4653</v>
      </c>
      <c r="C337" s="17" t="n">
        <v>0.0871</v>
      </c>
      <c r="D337" s="17" t="n">
        <v>33.93</v>
      </c>
      <c r="E337" s="17" t="n">
        <v>18.14</v>
      </c>
      <c r="F337" s="17" t="n">
        <v>1046.92</v>
      </c>
      <c r="G337" s="17" t="n">
        <v>-1028.78</v>
      </c>
      <c r="H337" s="17" t="inlineStr">
        <is>
          <t>Low Profitability</t>
        </is>
      </c>
    </row>
    <row r="338">
      <c r="A338" t="inlineStr">
        <is>
          <t>6f853d04a0a386b77258c738db0da40a8e826c80269ee6a370b3cadc894591fc</t>
        </is>
      </c>
      <c r="B338" t="n">
        <v>0.1117</v>
      </c>
      <c r="C338" t="n">
        <v>0.4574</v>
      </c>
      <c r="D338" t="n">
        <v>67.62</v>
      </c>
      <c r="E338" t="n">
        <v>60.07</v>
      </c>
      <c r="F338" t="n">
        <v>251.39</v>
      </c>
      <c r="G338" t="n">
        <v>-191.32</v>
      </c>
      <c r="H338" t="inlineStr">
        <is>
          <t>Medium Profitability</t>
        </is>
      </c>
    </row>
    <row r="339">
      <c r="A339" s="17" t="inlineStr">
        <is>
          <t>43af6fa2de8417c9ba2d50ecec19aeda4f731bd1482d0aa66bbde12426f652b0</t>
        </is>
      </c>
      <c r="B339" s="17" t="n">
        <v>0.9247</v>
      </c>
      <c r="C339" s="17" t="n">
        <v>0.5155</v>
      </c>
      <c r="D339" s="17" t="n">
        <v>72.91</v>
      </c>
      <c r="E339" s="17" t="n">
        <v>5.49</v>
      </c>
      <c r="F339" s="17" t="n">
        <v>2080.64</v>
      </c>
      <c r="G339" s="17" t="n">
        <v>-2075.16</v>
      </c>
      <c r="H339" s="17" t="inlineStr">
        <is>
          <t>Low Profitability</t>
        </is>
      </c>
    </row>
    <row r="340">
      <c r="A340" s="17" t="inlineStr">
        <is>
          <t>0d2e2c8a2ff4cf802578c13ef9fad984f2b88f1bd847402a83e8ec767480a0e5</t>
        </is>
      </c>
      <c r="B340" s="17" t="n">
        <v>0.5755</v>
      </c>
      <c r="C340" s="17" t="n">
        <v>0.9991</v>
      </c>
      <c r="D340" s="17" t="n">
        <v>116.92</v>
      </c>
      <c r="E340" s="17" t="n">
        <v>49.64</v>
      </c>
      <c r="F340" s="17" t="n">
        <v>1294.79</v>
      </c>
      <c r="G340" s="17" t="n">
        <v>-1245.15</v>
      </c>
      <c r="H340" s="17" t="inlineStr">
        <is>
          <t>Low Profitability</t>
        </is>
      </c>
    </row>
    <row r="341">
      <c r="A341" t="inlineStr">
        <is>
          <t>0bdd3420739cf405ab3f38980fcfb14aa1542460734bede4e1ccf2e7037fc9a2</t>
        </is>
      </c>
      <c r="B341" t="n">
        <v>0.1336</v>
      </c>
      <c r="C341" t="n">
        <v>0.1781</v>
      </c>
      <c r="D341" t="n">
        <v>42.21</v>
      </c>
      <c r="E341" t="n">
        <v>36.57</v>
      </c>
      <c r="F341" t="n">
        <v>300.64</v>
      </c>
      <c r="G341" t="n">
        <v>-264.07</v>
      </c>
      <c r="H341" t="inlineStr">
        <is>
          <t>Medium Profitability</t>
        </is>
      </c>
    </row>
    <row r="342">
      <c r="A342" s="17" t="inlineStr">
        <is>
          <t>fc6aad70419a3a420a23d89c7fdb50604e6200dc7b91b8f13524432bc2e9c03f</t>
        </is>
      </c>
      <c r="B342" s="17" t="n">
        <v>0.9964</v>
      </c>
      <c r="C342" s="17" t="n">
        <v>0.3522</v>
      </c>
      <c r="D342" s="17" t="n">
        <v>58.05</v>
      </c>
      <c r="E342" s="17" t="n">
        <v>0.21</v>
      </c>
      <c r="F342" s="17" t="n">
        <v>2241.98</v>
      </c>
      <c r="G342" s="17" t="n">
        <v>-2241.77</v>
      </c>
      <c r="H342" s="17" t="inlineStr">
        <is>
          <t>Low Profitability</t>
        </is>
      </c>
    </row>
    <row r="343">
      <c r="A343" s="17" t="inlineStr">
        <is>
          <t>76b7e546056bd465444d53a98b23ae6933d50641d06d2ea7ac945e15acb987be</t>
        </is>
      </c>
      <c r="B343" s="17" t="n">
        <v>0.6353</v>
      </c>
      <c r="C343" s="17" t="n">
        <v>0.968</v>
      </c>
      <c r="D343" s="17" t="n">
        <v>114.09</v>
      </c>
      <c r="E343" s="17" t="n">
        <v>41.61</v>
      </c>
      <c r="F343" s="17" t="n">
        <v>1429.43</v>
      </c>
      <c r="G343" s="17" t="n">
        <v>-1387.82</v>
      </c>
      <c r="H343" s="17" t="inlineStr">
        <is>
          <t>Low Profitability</t>
        </is>
      </c>
    </row>
    <row r="344">
      <c r="A344" s="18" t="inlineStr">
        <is>
          <t>4ceab642f587f21c9b1b1fe55a4064337a2b1bf0f8e7bb02fe43631e179f6aa9</t>
        </is>
      </c>
      <c r="B344" s="18" t="n">
        <v>0.0041</v>
      </c>
      <c r="C344" s="18" t="n">
        <v>0.1637</v>
      </c>
      <c r="D344" s="18" t="n">
        <v>40.9</v>
      </c>
      <c r="E344" s="18" t="n">
        <v>40.73</v>
      </c>
      <c r="F344" s="18" t="n">
        <v>9.33</v>
      </c>
      <c r="G344" s="18" t="n">
        <v>31.4</v>
      </c>
      <c r="H344" s="18" t="inlineStr">
        <is>
          <t>High Profitability</t>
        </is>
      </c>
    </row>
    <row r="345">
      <c r="A345" t="inlineStr">
        <is>
          <t>4438ffc41bdd195fc49a33412d98000f3f5e1ac7cfff286bac96e82b23fd0989</t>
        </is>
      </c>
      <c r="B345" t="n">
        <v>0.1736</v>
      </c>
      <c r="C345" t="n">
        <v>0.968</v>
      </c>
      <c r="D345" t="n">
        <v>114.09</v>
      </c>
      <c r="E345" t="n">
        <v>94.28</v>
      </c>
      <c r="F345" t="n">
        <v>390.67</v>
      </c>
      <c r="G345" t="n">
        <v>-296.39</v>
      </c>
      <c r="H345" t="inlineStr">
        <is>
          <t>Medium Profitability</t>
        </is>
      </c>
    </row>
    <row r="346">
      <c r="A346" s="17" t="inlineStr">
        <is>
          <t>5a9955bae43b2592176b65a85194b045c72da0110bfd663d8065f37c81c0ce8c</t>
        </is>
      </c>
      <c r="B346" s="17" t="n">
        <v>0.6899999999999999</v>
      </c>
      <c r="C346" s="17" t="n">
        <v>0.3587</v>
      </c>
      <c r="D346" s="17" t="n">
        <v>58.64</v>
      </c>
      <c r="E346" s="17" t="n">
        <v>18.18</v>
      </c>
      <c r="F346" s="17" t="n">
        <v>1552.54</v>
      </c>
      <c r="G346" s="17" t="n">
        <v>-1534.36</v>
      </c>
      <c r="H346" s="17" t="inlineStr">
        <is>
          <t>Low Profitability</t>
        </is>
      </c>
    </row>
    <row r="347">
      <c r="A347" s="17" t="inlineStr">
        <is>
          <t>11e18244e99f3c376d1a96c87d383eb6c789b2385da37e91f22282314a0c64ec</t>
        </is>
      </c>
      <c r="B347" s="17" t="n">
        <v>0.4381</v>
      </c>
      <c r="C347" s="17" t="n">
        <v>0.3689</v>
      </c>
      <c r="D347" s="17" t="n">
        <v>59.57</v>
      </c>
      <c r="E347" s="17" t="n">
        <v>33.47</v>
      </c>
      <c r="F347" s="17" t="n">
        <v>985.71</v>
      </c>
      <c r="G347" s="17" t="n">
        <v>-952.24</v>
      </c>
      <c r="H347" s="17" t="inlineStr">
        <is>
          <t>Low Profitability</t>
        </is>
      </c>
    </row>
    <row r="348">
      <c r="A348" t="inlineStr">
        <is>
          <t>dc2074d8c0316e8e97e3136f9c2b1eeeb0fcc903a43e08fba6a5bc7bb73f85a7</t>
        </is>
      </c>
      <c r="B348" t="n">
        <v>0.094</v>
      </c>
      <c r="C348" t="n">
        <v>0.9244</v>
      </c>
      <c r="D348" t="n">
        <v>110.12</v>
      </c>
      <c r="E348" t="n">
        <v>99.77</v>
      </c>
      <c r="F348" t="n">
        <v>211.57</v>
      </c>
      <c r="G348" t="n">
        <v>-111.8</v>
      </c>
      <c r="H348" t="inlineStr">
        <is>
          <t>Medium Profitability</t>
        </is>
      </c>
    </row>
    <row r="349">
      <c r="A349" s="17" t="inlineStr">
        <is>
          <t>4028d595c15e61790fa5a3d45da60b95a584c796421be3466eb6014597003e68</t>
        </is>
      </c>
      <c r="B349" s="17" t="n">
        <v>0.801</v>
      </c>
      <c r="C349" s="17" t="n">
        <v>0.9846</v>
      </c>
      <c r="D349" s="17" t="n">
        <v>115.6</v>
      </c>
      <c r="E349" s="17" t="n">
        <v>23</v>
      </c>
      <c r="F349" s="17" t="n">
        <v>1802.24</v>
      </c>
      <c r="G349" s="17" t="n">
        <v>-1779.23</v>
      </c>
      <c r="H349" s="17" t="inlineStr">
        <is>
          <t>Low Profitability</t>
        </is>
      </c>
    </row>
    <row r="350">
      <c r="A350" s="18" t="inlineStr">
        <is>
          <t>a3e22918b7934c8628068ba949aa3f2beaedff10450d5fb592d7dde0b2ca8527</t>
        </is>
      </c>
      <c r="B350" s="18" t="n">
        <v>0.0051</v>
      </c>
      <c r="C350" s="18" t="n">
        <v>0.6635</v>
      </c>
      <c r="D350" s="18" t="n">
        <v>86.38</v>
      </c>
      <c r="E350" s="18" t="n">
        <v>85.94</v>
      </c>
      <c r="F350" s="18" t="n">
        <v>11.4</v>
      </c>
      <c r="G350" s="18" t="n">
        <v>74.54000000000001</v>
      </c>
      <c r="H350" s="18" t="inlineStr">
        <is>
          <t>High Profitability</t>
        </is>
      </c>
    </row>
    <row r="351">
      <c r="A351" t="inlineStr">
        <is>
          <t>47dadc72157e1ea2b1c50af3dde755dd5f7d17fc4a1a4f02b6e136ec29baf264</t>
        </is>
      </c>
      <c r="B351" t="n">
        <v>0.3034</v>
      </c>
      <c r="C351" t="n">
        <v>0.7255</v>
      </c>
      <c r="D351" t="n">
        <v>92.02</v>
      </c>
      <c r="E351" t="n">
        <v>64.09999999999999</v>
      </c>
      <c r="F351" t="n">
        <v>682.71</v>
      </c>
      <c r="G351" t="n">
        <v>-618.61</v>
      </c>
      <c r="H351" t="inlineStr">
        <is>
          <t>Medium Profitability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0" t="inlineStr">
        <is>
          <t>Org Level</t>
        </is>
      </c>
      <c r="B1" s="10" t="inlineStr">
        <is>
          <t>Suggestion</t>
        </is>
      </c>
    </row>
    <row r="2">
      <c r="A2" t="inlineStr">
        <is>
          <t>Frontline Credit Ops</t>
        </is>
      </c>
      <c r="B2" s="12" t="inlineStr">
        <is>
          <t>Pull the real 148,855-account High Risk + Low Profitability cross-tier segment each cycle from the profitability dashboard's Cross-Tier Segment tab -- these are real accounts where risk alone or revenue alone would not have flagged urgency, but together do.</t>
        </is>
      </c>
    </row>
    <row r="3">
      <c r="A3" t="inlineStr">
        <is>
          <t>Credit Ops Team Lead</t>
        </is>
      </c>
      <c r="B3" s="12" t="inlineStr">
        <is>
          <t>Track the 148,855-account segment's real conversion to actual exposure-reduction actions against the ASSUMPTION 25% target rate this notebook prices -- low conversion erases the $60,740,078/cycle benefit regardless of scoring quality.</t>
        </is>
      </c>
    </row>
    <row r="4">
      <c r="A4" t="inlineStr">
        <is>
          <t>Risk / Data Science Analyst</t>
        </is>
      </c>
      <c r="B4" s="12" t="inlineStr">
        <is>
          <t>Watch the risk_adjustment_materiality Spearman correlation's 95% bootstrap CI ([-0.9789, -0.9778]) every refresh cycle -- if the upper bound ever crosses the ASSUMPTION -0.15 threshold, the PD-adjustment is no longer measurably re-ranking customers relative to raw revenue, and Notebook 66's revenue-model balance (Section 6) needs revisiting.</t>
        </is>
      </c>
    </row>
    <row r="5">
      <c r="A5" t="inlineStr">
        <is>
          <t>Model Risk / Compliance (SR 11-7)</t>
        </is>
      </c>
      <c r="B5" s="12" t="inlineStr">
        <is>
          <t>File Notebook 68's independent reproduction result (True), the persisted-profile cross-check (True), and the API self-test result (True) with the technique's governance packet; flag prominently that REVENUE_PER_ACCOUNT_USD rests partly on Notebook 66's explicit ASSUMPTION inputs, not audited financial data -- governance review should validate the assumption range, not treat the dollar figures as measured fact. Currently RECOMMENDED for production.</t>
        </is>
      </c>
    </row>
    <row r="6">
      <c r="A6" t="inlineStr">
        <is>
          <t>Finance / Pricing Team</t>
        </is>
      </c>
      <c r="B6" s="12" t="inlineStr">
        <is>
          <t>Use PROFITABILITY_TIER as a starting cross-check for repricing/fee-waiver policy discussions -- a consistency check against Finance's own real revenue and pricing systems once available, not a standalone pricing engine (this notebook's own revenue figures are an explicit ASSUMPTION, not measured).</t>
        </is>
      </c>
    </row>
    <row r="7">
      <c r="A7" t="inlineStr">
        <is>
          <t>CFO / Executive Leadership</t>
        </is>
      </c>
      <c r="B7" s="12" t="inlineStr">
        <is>
          <t>Approve the $40,000 investment given an estimated 0.0 months payback and 1,741,721% Year-1 ROI from proactive exposure reduction on the real cross-tier segment; note this is the platform's first problem to connect risk scoring directly to a P&amp;L view, and Problem 14's executive dashboard (next) will surface this alongside all 13 prior problems in one place.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2026-08-27T09:36:12Z</dcterms:created>
  <dcterms:modified xmlns:dcterms="http://purl.org/dc/terms/" xmlns:xsi="http://www.w3.org/2001/XMLSchema-instance" xsi:type="dcterms:W3CDTF">2026-08-27T09:36:12Z</dcterms:modified>
</cp:coreProperties>
</file>