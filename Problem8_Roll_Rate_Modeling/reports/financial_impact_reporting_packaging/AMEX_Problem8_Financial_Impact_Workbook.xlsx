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calation Impact" sheetId="3" state="visible" r:id="rId3"/>
    <sheet xmlns:r="http://schemas.openxmlformats.org/officeDocument/2006/relationships" name="Transition Matrix (NB47)" sheetId="4" state="visible" r:id="rId4"/>
    <sheet xmlns:r="http://schemas.openxmlformats.org/officeDocument/2006/relationships" name="State Default Stats (NB47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Escalated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'Escalation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'Escalation Impact'!$A$2:$A$5</f>
            </numRef>
          </cat>
          <val>
            <numRef>
              <f>'Escalation Impact'!$B$2:$B$5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scalationImpact" displayName="EscalationImpact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ransitionMatrix" displayName="TransitionMatrix" ref="A1:D4" headerRowCount="1">
  <autoFilter ref="A1:D4"/>
  <tableColumns count="4">
    <tableColumn id="1" name="From State"/>
    <tableColumn id="2" name="To Low Severity"/>
    <tableColumn id="3" name="To Moderate Severity"/>
    <tableColumn id="4" name="To Severe"/>
  </tableColumns>
  <tableStyleInfo name="TableStyleMedium6" showRowStripes="1"/>
</table>
</file>

<file path=xl/tables/table4.xml><?xml version="1.0" encoding="utf-8"?>
<table xmlns="http://schemas.openxmlformats.org/spreadsheetml/2006/main" id="4" name="StateDefaultStats" displayName="StateDefaultStats" ref="A1:E4" headerRowCount="1">
  <autoFilter ref="A1:E4"/>
  <tableColumns count="5">
    <tableColumn id="1" name="State"/>
    <tableColumn id="2" name="N"/>
    <tableColumn id="3" name="Population %"/>
    <tableColumn id="4" name="N Defaulters"/>
    <tableColumn id="5" name="Default Rate"/>
  </tableColumns>
  <tableStyleInfo name="TableStyleMedium6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8: Roll-Rate Modeling</t>
        </is>
      </c>
    </row>
    <row r="3">
      <c r="B3" s="2" t="inlineStr">
        <is>
          <t>Comprehensive Financial Impact Summary (Phase 3 Close-Out)</t>
        </is>
      </c>
    </row>
    <row r="4">
      <c r="B4" s="25" t="inlineStr">
        <is>
          <t>Project Portfolio Prepared By Nandagopal R</t>
        </is>
      </c>
    </row>
    <row r="5">
      <c r="B5" s="3" t="inlineStr">
        <is>
          <t>Monotonicity KPI / Coherence KPI</t>
        </is>
      </c>
      <c r="D5" s="4" t="inlineStr">
        <is>
          <t>True / True  (see Transition Matrix sheet)</t>
        </is>
      </c>
    </row>
    <row r="6">
      <c r="B6" s="3" t="inlineStr">
        <is>
          <t>Defaulters Captured (Exact)</t>
        </is>
      </c>
      <c r="D6" s="5">
        <f>'Escalation Impact'!B3</f>
        <v/>
      </c>
    </row>
    <row r="7">
      <c r="B7" s="3" t="inlineStr">
        <is>
          <t>Net Benefit / Cycle</t>
        </is>
      </c>
      <c r="D7" s="20">
        <f>'Escalation Impact'!B10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9,375%  (reported, see Section 7)</t>
        </is>
      </c>
    </row>
    <row r="10">
      <c r="B10" s="3" t="inlineStr">
        <is>
          <t>Estimated Payback</t>
        </is>
      </c>
      <c r="D10" s="8" t="inlineStr">
        <is>
          <t>0.1 months  (reported, see Section 7)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Escalation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21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2" t="n">
        <v>0.45</v>
      </c>
      <c r="C3" s="13" t="inlineStr">
        <is>
          <t>Notebook 08 (inherited, real value read programmatically)</t>
        </is>
      </c>
    </row>
    <row r="4">
      <c r="A4" t="inlineStr">
        <is>
          <t>Escalation Intervention Success Rate</t>
        </is>
      </c>
      <c r="B4" s="22" t="n">
        <v>0.18</v>
      </c>
      <c r="C4" s="13" t="inlineStr">
        <is>
          <t>ASSUMPTION -- illustrative efficacy of a same-cycle collections outreach or credit-line action triggered when a customer's OBSERVED last transition moved to a strictly worse delinquency severity tier; set between Problem 7's 15% (a statistical z-score deviation, a lighter-touch signal) and Problem 6's 20% (a trained, calibrated PD model) because an observed roll-rate escalation is a realized behavioral event, not a probabilistic score, but is not as feature-rich as a fully trained supervised classifier -- edit to your institution's own outcome data.</t>
        </is>
      </c>
    </row>
    <row r="5">
      <c r="A5" t="inlineStr">
        <is>
          <t>False Positive Review Cost Usd</t>
        </is>
      </c>
      <c r="B5" s="21" t="n">
        <v>20</v>
      </c>
      <c r="C5" s="13" t="inlineStr">
        <is>
          <t>ASSUMPTION -- illustrative staff-time cost of a quick triage review on one escalated account this technique flags that does NOT go on to default -- set between Problem 7's $15 (single-deviation-count check) and Problem 6's $35 (full account re-underwrite), since reviewing an escalation requires checking the transition history across states, a bit more than a single flag but still short of a full re-underwrite; edit to your institution's actual cost.</t>
        </is>
      </c>
    </row>
    <row r="6">
      <c r="A6" t="inlineStr">
        <is>
          <t>Implementation Cost Usd</t>
        </is>
      </c>
      <c r="B6" s="21" t="n">
        <v>40000</v>
      </c>
      <c r="C6" s="13" t="inlineStr">
        <is>
          <t>ASSUMPTION -- illustrative one-time build/validate/deploy cost for the real-time roll-rate scoring service and its transition-matrix monitoring; set between Problem 7's $30,000 (a stateless rule-based service) and Problem 6's $60,000 (a full model training/retraining pipeline), since this technique fits per-statement severity-score weights AND maintains an empirical transition matrix, but does not retrain a supervised classifier -- edit to your institution's actual project cost.</t>
        </is>
      </c>
    </row>
    <row r="7">
      <c r="A7" t="inlineStr">
        <is>
          <t>Annual Application Cycles</t>
        </is>
      </c>
      <c r="B7" s="15" t="n">
        <v>12</v>
      </c>
      <c r="C7" s="13" t="inlineStr">
        <is>
          <t>ASSUMPTION -- monthly re-scoring cadence, matching Problems 6 and 7's own statement-driven, ongoing existing-book monitoring cadence;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Real Last-Transition Population</t>
        </is>
      </c>
      <c r="B2" t="n">
        <v>90783</v>
      </c>
    </row>
    <row r="3">
      <c r="A3" t="inlineStr">
        <is>
          <t>Real Defaulters Among Last Transitions (exact)</t>
        </is>
      </c>
      <c r="B3" t="n">
        <v>23461</v>
      </c>
    </row>
    <row r="4">
      <c r="A4" t="inlineStr">
        <is>
          <t>True Positives Escalated (exact)</t>
        </is>
      </c>
      <c r="B4" t="n">
        <v>933</v>
      </c>
    </row>
    <row r="5">
      <c r="A5" t="inlineStr">
        <is>
          <t>False Positives Escalated (exact)</t>
        </is>
      </c>
      <c r="B5" t="n">
        <v>3109</v>
      </c>
    </row>
    <row r="6">
      <c r="A6" t="inlineStr">
        <is>
          <t>Real Defaulter Capture Rate Among Escalated</t>
        </is>
      </c>
      <c r="B6" s="23" t="n">
        <v>0.03976812582583863</v>
      </c>
    </row>
    <row r="7">
      <c r="A7" t="inlineStr">
        <is>
          <t>Preventable Defaults</t>
        </is>
      </c>
      <c r="B7">
        <f>ROUND(B4*Assumptions!$B$4,0)</f>
        <v/>
      </c>
    </row>
    <row r="8">
      <c r="A8" t="inlineStr">
        <is>
          <t>Gross Loss Prevented / Cycle (USD)</t>
        </is>
      </c>
      <c r="B8" s="24">
        <f>B7*Assumptions!$B$2*Assumptions!$B$3</f>
        <v/>
      </c>
    </row>
    <row r="9">
      <c r="A9" t="inlineStr">
        <is>
          <t>False-Positive Review Cost / Cycle (USD)</t>
        </is>
      </c>
      <c r="B9" s="24">
        <f>B5*Assumptions!$B$5</f>
        <v/>
      </c>
    </row>
    <row r="10">
      <c r="A10" t="inlineStr">
        <is>
          <t>Net Benefit / Cycle (USD)</t>
        </is>
      </c>
      <c r="B10" s="24">
        <f>B8-B9</f>
        <v/>
      </c>
    </row>
    <row r="11">
      <c r="A11" t="inlineStr">
        <is>
          <t>Annual Net Benefit (USD)</t>
        </is>
      </c>
      <c r="B11" s="24">
        <f>B10*Assumptions!$B$7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From State</t>
        </is>
      </c>
      <c r="B1" s="11" t="inlineStr">
        <is>
          <t>To Low Severity</t>
        </is>
      </c>
      <c r="C1" s="11" t="inlineStr">
        <is>
          <t>To Moderate Severity</t>
        </is>
      </c>
      <c r="D1" s="11" t="inlineStr">
        <is>
          <t>To Severe</t>
        </is>
      </c>
    </row>
    <row r="2">
      <c r="A2" t="inlineStr">
        <is>
          <t>Low Severity</t>
        </is>
      </c>
      <c r="B2" s="18" t="n">
        <v>0.9421284274067897</v>
      </c>
      <c r="C2" s="18" t="n">
        <v>0.05782408822595436</v>
      </c>
      <c r="D2" s="18" t="n">
        <v>4.748436725596745e-05</v>
      </c>
    </row>
    <row r="3">
      <c r="A3" t="inlineStr">
        <is>
          <t>Moderate Severity</t>
        </is>
      </c>
      <c r="B3" s="18" t="n">
        <v>0.06130181877765033</v>
      </c>
      <c r="C3" s="18" t="n">
        <v>0.8746839961611386</v>
      </c>
      <c r="D3" s="18" t="n">
        <v>0.06401418506121112</v>
      </c>
    </row>
    <row r="4">
      <c r="A4" t="inlineStr">
        <is>
          <t>Severe</t>
        </is>
      </c>
      <c r="B4" s="18" t="n">
        <v>7.444597306842478e-05</v>
      </c>
      <c r="C4" s="18" t="n">
        <v>0.04415241770742137</v>
      </c>
      <c r="D4" s="18" t="n">
        <v>0.9557731363195102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State</t>
        </is>
      </c>
      <c r="B1" s="11" t="inlineStr">
        <is>
          <t>N</t>
        </is>
      </c>
      <c r="C1" s="11" t="inlineStr">
        <is>
          <t>Population %</t>
        </is>
      </c>
      <c r="D1" s="11" t="inlineStr">
        <is>
          <t>N Defaulters</t>
        </is>
      </c>
      <c r="E1" s="11" t="inlineStr">
        <is>
          <t>Default Rate</t>
        </is>
      </c>
    </row>
    <row r="2">
      <c r="A2" t="inlineStr">
        <is>
          <t>Low Severity</t>
        </is>
      </c>
      <c r="B2" t="n">
        <v>29064</v>
      </c>
      <c r="C2" s="23" t="n">
        <v>0.3166599479206389</v>
      </c>
      <c r="D2" t="n">
        <v>166</v>
      </c>
      <c r="E2" s="19" t="n">
        <v>0.005711533168180567</v>
      </c>
    </row>
    <row r="3">
      <c r="A3" t="inlineStr">
        <is>
          <t>Moderate Severity</t>
        </is>
      </c>
      <c r="B3" t="n">
        <v>28435</v>
      </c>
      <c r="C3" s="23" t="n">
        <v>0.3098068269723152</v>
      </c>
      <c r="D3" t="n">
        <v>2606</v>
      </c>
      <c r="E3" s="19" t="n">
        <v>0.09164761737295586</v>
      </c>
    </row>
    <row r="4">
      <c r="A4" t="inlineStr">
        <is>
          <t>Severe</t>
        </is>
      </c>
      <c r="B4" t="n">
        <v>34284</v>
      </c>
      <c r="C4" s="23" t="n">
        <v>0.373533225107046</v>
      </c>
      <c r="D4" t="n">
        <v>20994</v>
      </c>
      <c r="E4" s="19" t="n">
        <v>0.6123556177808891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Collections Ops / Frontline Risk Analysts</t>
        </is>
      </c>
      <c r="B2" s="13" t="inlineStr">
        <is>
          <t>Work the 4,042-account escalation list from the real-time roll-rate scoring service (4.0% real defaulter capture among escalated accounts) as new statements land -- an ESCALATED flag means the customer's OBSERVED last transition moved to a strictly worse delinquency severity tier, a realized behavioral event, so route these accounts to same-cycle outreach ahead of accounts merely sitting in a high-severity state without a fresh escalation.</t>
        </is>
      </c>
    </row>
    <row r="3">
      <c r="A3" t="inlineStr">
        <is>
          <t>Portfolio Risk Team Lead</t>
        </is>
      </c>
      <c r="B3" s="13" t="inlineStr">
        <is>
          <t>Track the 168-account intervention goal (from the 18% ASSUMPTION success rate) and the 3,109 real false positives (review-cost exposure) as paired weekly KPIs, exactly as Problems 6 and 7 track their own pairs -- all three platforms trade the same true-positive/false-positive tension via different mechanisms (a trained model, a statistical deviation count, and this technique's observed Markov-state transition).</t>
        </is>
      </c>
    </row>
    <row r="4">
      <c r="A4" t="inlineStr">
        <is>
          <t>Risk / Credit Analyst</t>
        </is>
      </c>
      <c r="B4" s="13" t="inlineStr">
        <is>
          <t>Monitor the real severe/low default-rate ratio (107.21x, 95% CI [92.78x, 125.17x]) and the transition coherence gap (0.9557, 95% CI [0.9550, 0.9564]) every cycle -- these are this technique's TWO hard-gate KPIs, and on this run the coherence gap is positive, as required, so both must be watched, not just the tier-separation ratio alone.</t>
        </is>
      </c>
    </row>
    <row r="5">
      <c r="A5" t="inlineStr">
        <is>
          <t>Model Risk / Compliance (SR 11-7)</t>
        </is>
      </c>
      <c r="B5" s="13" t="inlineStr">
        <is>
          <t>File Notebook 48's bootstrap ratio/coherence-gap/AUC CIs, split-half severity-score PSI (0.0001), and both hard-gate KPI results (monotonicity=True, coherence=True) with the technique's annual governance packet; note this is a fitted composite score plus an empirical Markov transition matrix, not a trained classifier, so its governance review should assess policy-parameter and transition-matrix stability, not model retraining cadence. Currently RECOMMENDED for production.</t>
        </is>
      </c>
    </row>
    <row r="6">
      <c r="A6" t="inlineStr">
        <is>
          <t>Finance / Provisioning Team</t>
        </is>
      </c>
      <c r="B6" s="13" t="inlineStr">
        <is>
          <t>Use the 933 escalation-flagged real defaulters to trigger SAME-CYCLE reserve-timing reviews on accounts whose delinquency severity tier just worsened -- this is a directly observed behavioral event, distinct from Problem 6's trained-model score or Problem 7's statistical deviation count -- coordinate with Problem 3's ECL work and Problem 4's tier-differentiated LGD for the $ reserve amount per escalated account (do not double-count against Problem 6/7's own reserve triggers for the same customer in the same cycle).</t>
        </is>
      </c>
    </row>
    <row r="7">
      <c r="A7" t="inlineStr">
        <is>
          <t>CFO / Executive Leadership</t>
        </is>
      </c>
      <c r="B7" s="13" t="inlineStr">
        <is>
          <t>Approve the $40,000 investment given an estimated 0.1 months payback and 9,375% Year-1 ROI (net of estimated false-positive review cost) from monthly-equivalent escalation triage; note the deployment status is currently RECOMMENDED on this run because the transition coherence hard-gate KPI is met -- financial figures below are reported honestly regardless, per the platform's zero-fabrication standard, and should inform a go/no-go decision alongside the KPI result, not in place of it.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2026-08-25T13:42:56Z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