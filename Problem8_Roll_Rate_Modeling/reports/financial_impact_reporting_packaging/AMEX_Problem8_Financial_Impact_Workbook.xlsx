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Escalation Impact" sheetId="3" state="visible" r:id="rId3"/>
    <sheet xmlns:r="http://schemas.openxmlformats.org/officeDocument/2006/relationships" name="Transition Matrix (NB47)" sheetId="4" state="visible" r:id="rId4"/>
    <sheet xmlns:r="http://schemas.openxmlformats.org/officeDocument/2006/relationships" name="State Default Stats (NB47)" sheetId="5" state="visible" r:id="rId5"/>
    <sheet xmlns:r="http://schemas.openxmlformats.org/officeDocument/2006/relationships" name="SMART Suggestion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$#,##0;($#,##0);-"/>
    <numFmt numFmtId="166" formatCode="0.0000"/>
  </numFmts>
  <fonts count="9">
    <font>
      <name val="Calibri"/>
      <family val="2"/>
      <color theme="1"/>
      <sz val="11"/>
      <scheme val="minor"/>
    </font>
    <font>
      <name val="Calibri"/>
      <color rgb="000000FF"/>
    </font>
    <font>
      <name val="Calibri"/>
      <b val="1"/>
      <color rgb="00FFFFFF"/>
      <sz val="16"/>
    </font>
    <font>
      <name val="Calibri"/>
      <i val="1"/>
      <color rgb="000B1F3A"/>
      <sz val="11"/>
    </font>
    <font>
      <name val="Calibri"/>
      <color rgb="000B1F3A"/>
      <sz val="11"/>
    </font>
    <font>
      <name val="Calibri"/>
      <b val="1"/>
      <color rgb="000B1F3A"/>
      <sz val="13"/>
    </font>
    <font>
      <name val="Calibri"/>
      <b val="1"/>
      <color rgb="00FFFFFF"/>
      <sz val="13"/>
    </font>
    <font>
      <name val="Calibri"/>
      <i val="1"/>
      <color rgb="008A93A6"/>
      <sz val="9"/>
    </font>
    <font>
      <name val="Calibri"/>
      <b val="1"/>
      <color rgb="00FFFFFF"/>
    </font>
  </fonts>
  <fills count="8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0B1F3A"/>
      </patternFill>
    </fill>
    <fill>
      <patternFill patternType="solid">
        <fgColor rgb="00F2F4F8"/>
      </patternFill>
    </fill>
    <fill>
      <patternFill patternType="solid">
        <fgColor rgb="00C9A227"/>
      </patternFill>
    </fill>
    <fill>
      <patternFill patternType="solid">
        <fgColor rgb="00C41E3A"/>
      </patternFill>
    </fill>
    <fill>
      <patternFill patternType="solid">
        <fgColor rgb="0063BE7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4" borderId="0" applyAlignment="1" pivotButton="0" quotePrefix="0" xfId="0">
      <alignment horizontal="center" wrapText="1"/>
    </xf>
    <xf numFmtId="3" fontId="5" fillId="4" borderId="0" applyAlignment="1" pivotButton="0" quotePrefix="0" xfId="0">
      <alignment horizontal="center"/>
    </xf>
    <xf numFmtId="165" fontId="6" fillId="5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6" fillId="6" borderId="0" applyAlignment="1" pivotButton="0" quotePrefix="0" xfId="0">
      <alignment horizontal="center" wrapText="1"/>
    </xf>
    <xf numFmtId="0" fontId="5" fillId="7" borderId="0" applyAlignment="1" pivotButton="0" quotePrefix="0" xfId="0">
      <alignment horizontal="center" wrapText="1"/>
    </xf>
    <xf numFmtId="0" fontId="7" fillId="0" borderId="0" pivotButton="0" quotePrefix="0" xfId="0"/>
    <xf numFmtId="0" fontId="8" fillId="3" borderId="0" pivotButton="0" quotePrefix="0" xfId="0"/>
    <xf numFmtId="165" fontId="1" fillId="2" borderId="0" pivotButton="0" quotePrefix="0" xfId="0"/>
    <xf numFmtId="0" fontId="0" fillId="0" borderId="0" applyAlignment="1" pivotButton="0" quotePrefix="0" xfId="0">
      <alignment vertical="top" wrapText="1"/>
    </xf>
    <xf numFmtId="164" fontId="1" fillId="2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Escalated Population: True Positives vs. False Positives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'Escalation Impact'!B1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'Escalation Impact'!$A$2:$A$5</f>
            </numRef>
          </cat>
          <val>
            <numRef>
              <f>'Escalation Impact'!$B$2:$B$5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Customers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Assumptions" displayName="Assumptions" ref="A1:C7" headerRowCount="1">
  <autoFilter ref="A1:C7"/>
  <tableColumns count="3">
    <tableColumn id="1" name="Assumption"/>
    <tableColumn id="2" name="Value"/>
    <tableColumn id="3" name="Source / Rationale"/>
  </tableColumns>
  <tableStyleInfo name="TableStyleMedium4" showRowStripes="1"/>
</table>
</file>

<file path=xl/tables/table2.xml><?xml version="1.0" encoding="utf-8"?>
<table xmlns="http://schemas.openxmlformats.org/spreadsheetml/2006/main" id="2" name="EscalationImpact" displayName="EscalationImpact" ref="A1:B11" headerRowCount="1">
  <autoFilter ref="A1:B11"/>
  <tableColumns count="2">
    <tableColumn id="1" name="Metric"/>
    <tableColumn id="2" name="Value"/>
  </tableColumns>
  <tableStyleInfo name="TableStyleMedium2" showRowStripes="1"/>
</table>
</file>

<file path=xl/tables/table3.xml><?xml version="1.0" encoding="utf-8"?>
<table xmlns="http://schemas.openxmlformats.org/spreadsheetml/2006/main" id="3" name="TransitionMatrix" displayName="TransitionMatrix" ref="A1:D4" headerRowCount="1">
  <autoFilter ref="A1:D4"/>
  <tableColumns count="4">
    <tableColumn id="1" name="From State"/>
    <tableColumn id="2" name="To Low Severity"/>
    <tableColumn id="3" name="To Moderate Severity"/>
    <tableColumn id="4" name="To Severe"/>
  </tableColumns>
  <tableStyleInfo name="TableStyleMedium6" showRowStripes="1"/>
</table>
</file>

<file path=xl/tables/table4.xml><?xml version="1.0" encoding="utf-8"?>
<table xmlns="http://schemas.openxmlformats.org/spreadsheetml/2006/main" id="4" name="StateDefaultStats" displayName="StateDefaultStats" ref="A1:E4" headerRowCount="1">
  <autoFilter ref="A1:E4"/>
  <tableColumns count="5">
    <tableColumn id="1" name="State"/>
    <tableColumn id="2" name="N"/>
    <tableColumn id="3" name="Population %"/>
    <tableColumn id="4" name="N Defaulters"/>
    <tableColumn id="5" name="Default Rate"/>
  </tableColumns>
  <tableStyleInfo name="TableStyleMedium6" showRowStripes="1"/>
</table>
</file>

<file path=xl/tables/table5.xml><?xml version="1.0" encoding="utf-8"?>
<table xmlns="http://schemas.openxmlformats.org/spreadsheetml/2006/main" id="5" name="SmartSuggestions" displayName="SmartSuggestions" ref="A1:B7" headerRowCount="1">
  <autoFilter ref="A1:B7"/>
  <tableColumns count="2">
    <tableColumn id="1" name="Org Level"/>
    <tableColumn id="2" name="Suggestion"/>
  </tableColumns>
  <tableStyleInfo name="TableStyleMedium7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2.xml" Id="rId2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14"/>
  <sheetViews>
    <sheetView showGridLines="0" workbookViewId="0">
      <selection activeCell="A1" sqref="A1"/>
    </sheetView>
  </sheetViews>
  <sheetFormatPr baseColWidth="8" defaultRowHeight="15"/>
  <cols>
    <col width="32" customWidth="1" min="2" max="2"/>
    <col width="3" customWidth="1" min="3" max="3"/>
    <col width="22" customWidth="1" min="4" max="4"/>
    <col width="22" customWidth="1" min="5" max="5"/>
    <col width="3" customWidth="1" min="6" max="6"/>
  </cols>
  <sheetData>
    <row r="2">
      <c r="B2" s="1" t="inlineStr">
        <is>
          <t>AMEX RiskIQ -- Problem 8: Roll-Rate Modeling</t>
        </is>
      </c>
    </row>
    <row r="3">
      <c r="B3" s="2" t="inlineStr">
        <is>
          <t>Comprehensive Financial Impact Summary (Phase 3 Close-Out)</t>
        </is>
      </c>
    </row>
    <row r="5">
      <c r="B5" s="3" t="inlineStr">
        <is>
          <t>Monotonicity KPI / Coherence KPI</t>
        </is>
      </c>
      <c r="D5" s="4" t="inlineStr">
        <is>
          <t>True / True  (see Transition Matrix sheet)</t>
        </is>
      </c>
    </row>
    <row r="6">
      <c r="B6" s="3" t="inlineStr">
        <is>
          <t>Defaulters Captured (Exact)</t>
        </is>
      </c>
      <c r="D6" s="5">
        <f>'Escalation Impact'!B3</f>
        <v/>
      </c>
    </row>
    <row r="7">
      <c r="B7" s="3" t="inlineStr">
        <is>
          <t>Net Benefit / Cycle</t>
        </is>
      </c>
      <c r="D7" s="6">
        <f>'Escalation Impact'!B10</f>
        <v/>
      </c>
    </row>
    <row r="8">
      <c r="B8" s="3" t="inlineStr">
        <is>
          <t>Amount Invested</t>
        </is>
      </c>
      <c r="D8" s="7">
        <f>"$"&amp;TEXT(Assumptions!$B$6,"#,##0")</f>
        <v/>
      </c>
    </row>
    <row r="9">
      <c r="B9" s="3" t="inlineStr">
        <is>
          <t>Estimated Year-1 ROI</t>
        </is>
      </c>
      <c r="D9" s="8" t="inlineStr">
        <is>
          <t>9,375%  (reported, see Section 7)</t>
        </is>
      </c>
    </row>
    <row r="10">
      <c r="B10" s="3" t="inlineStr">
        <is>
          <t>Estimated Payback</t>
        </is>
      </c>
      <c r="D10" s="8" t="inlineStr">
        <is>
          <t>0.1 months  (reported, see Section 7)</t>
        </is>
      </c>
    </row>
    <row r="11">
      <c r="B11" s="3" t="inlineStr">
        <is>
          <t>Deployment Status</t>
        </is>
      </c>
      <c r="D11" s="9" t="inlineStr">
        <is>
          <t>RECOMMENDED for production</t>
        </is>
      </c>
    </row>
    <row r="14">
      <c r="B14" s="10" t="inlineStr">
        <is>
          <t>Rows 6-8 recalculate live from the Assumptions and Escalation Impact sheets.</t>
        </is>
      </c>
    </row>
  </sheetData>
  <mergeCells count="10">
    <mergeCell ref="D8:E8"/>
    <mergeCell ref="D6:E6"/>
    <mergeCell ref="D7:E7"/>
    <mergeCell ref="D10:E10"/>
    <mergeCell ref="B2:F2"/>
    <mergeCell ref="D11:E11"/>
    <mergeCell ref="D5:E5"/>
    <mergeCell ref="B3:F3"/>
    <mergeCell ref="B14:F14"/>
    <mergeCell ref="D9:E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0" customWidth="1" min="3" max="3"/>
  </cols>
  <sheetData>
    <row r="1">
      <c r="A1" s="11" t="inlineStr">
        <is>
          <t>Assumption</t>
        </is>
      </c>
      <c r="B1" s="11" t="inlineStr">
        <is>
          <t>Value</t>
        </is>
      </c>
      <c r="C1" s="11" t="inlineStr">
        <is>
          <t>Source / Rationale</t>
        </is>
      </c>
    </row>
    <row r="2">
      <c r="A2" t="inlineStr">
        <is>
          <t>Ead Per Account Usd</t>
        </is>
      </c>
      <c r="B2" s="12" t="n">
        <v>5000</v>
      </c>
      <c r="C2" s="13" t="inlineStr">
        <is>
          <t>Notebook 08 (inherited, real value read programmatically)</t>
        </is>
      </c>
    </row>
    <row r="3">
      <c r="A3" t="inlineStr">
        <is>
          <t>Lgd Assumption</t>
        </is>
      </c>
      <c r="B3" s="14" t="n">
        <v>0.45</v>
      </c>
      <c r="C3" s="13" t="inlineStr">
        <is>
          <t>Notebook 08 (inherited, real value read programmatically)</t>
        </is>
      </c>
    </row>
    <row r="4">
      <c r="A4" t="inlineStr">
        <is>
          <t>Escalation Intervention Success Rate</t>
        </is>
      </c>
      <c r="B4" s="14" t="n">
        <v>0.18</v>
      </c>
      <c r="C4" s="13" t="inlineStr">
        <is>
          <t>ASSUMPTION -- illustrative efficacy of a same-cycle collections outreach or credit-line action triggered when a customer's OBSERVED last transition moved to a strictly worse delinquency severity tier; set between Problem 7's 15% (a statistical z-score deviation, a lighter-touch signal) and Problem 6's 20% (a trained, calibrated PD model) because an observed roll-rate escalation is a realized behavioral event, not a probabilistic score, but is not as feature-rich as a fully trained supervised classifier -- edit to your institution's own outcome data.</t>
        </is>
      </c>
    </row>
    <row r="5">
      <c r="A5" t="inlineStr">
        <is>
          <t>False Positive Review Cost Usd</t>
        </is>
      </c>
      <c r="B5" s="12" t="n">
        <v>20</v>
      </c>
      <c r="C5" s="13" t="inlineStr">
        <is>
          <t>ASSUMPTION -- illustrative staff-time cost of a quick triage review on one escalated account this technique flags that does NOT go on to default -- set between Problem 7's $15 (single-deviation-count check) and Problem 6's $35 (full account re-underwrite), since reviewing an escalation requires checking the transition history across states, a bit more than a single flag but still short of a full re-underwrite; edit to your institution's actual cost.</t>
        </is>
      </c>
    </row>
    <row r="6">
      <c r="A6" t="inlineStr">
        <is>
          <t>Implementation Cost Usd</t>
        </is>
      </c>
      <c r="B6" s="12" t="n">
        <v>40000</v>
      </c>
      <c r="C6" s="13" t="inlineStr">
        <is>
          <t>ASSUMPTION -- illustrative one-time build/validate/deploy cost for the real-time roll-rate scoring service and its transition-matrix monitoring; set between Problem 7's $30,000 (a stateless rule-based service) and Problem 6's $60,000 (a full model training/retraining pipeline), since this technique fits per-statement severity-score weights AND maintains an empirical transition matrix, but does not retrain a supervised classifier -- edit to your institution's actual project cost.</t>
        </is>
      </c>
    </row>
    <row r="7">
      <c r="A7" t="inlineStr">
        <is>
          <t>Annual Application Cycles</t>
        </is>
      </c>
      <c r="B7" s="15" t="n">
        <v>12</v>
      </c>
      <c r="C7" s="13" t="inlineStr">
        <is>
          <t>ASSUMPTION -- monthly re-scoring cadence, matching Problems 6 and 7's own statement-driven, ongoing existing-book monitoring cadence; edit to your institution's actual cadence.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44" customWidth="1" min="1" max="1"/>
    <col width="20" customWidth="1" min="2" max="2"/>
  </cols>
  <sheetData>
    <row r="1">
      <c r="A1" s="11" t="inlineStr">
        <is>
          <t>Metric</t>
        </is>
      </c>
      <c r="B1" s="11" t="inlineStr">
        <is>
          <t>Value</t>
        </is>
      </c>
    </row>
    <row r="2">
      <c r="A2" t="inlineStr">
        <is>
          <t>Real Last-Transition Population</t>
        </is>
      </c>
      <c r="B2" t="n">
        <v>90783</v>
      </c>
    </row>
    <row r="3">
      <c r="A3" t="inlineStr">
        <is>
          <t>Real Defaulters Among Last Transitions (exact)</t>
        </is>
      </c>
      <c r="B3" t="n">
        <v>23461</v>
      </c>
    </row>
    <row r="4">
      <c r="A4" t="inlineStr">
        <is>
          <t>True Positives Escalated (exact)</t>
        </is>
      </c>
      <c r="B4" t="n">
        <v>933</v>
      </c>
    </row>
    <row r="5">
      <c r="A5" t="inlineStr">
        <is>
          <t>False Positives Escalated (exact)</t>
        </is>
      </c>
      <c r="B5" t="n">
        <v>3109</v>
      </c>
    </row>
    <row r="6">
      <c r="A6" t="inlineStr">
        <is>
          <t>Real Defaulter Capture Rate Among Escalated</t>
        </is>
      </c>
      <c r="B6" s="16" t="n">
        <v>0.03976812582583863</v>
      </c>
    </row>
    <row r="7">
      <c r="A7" t="inlineStr">
        <is>
          <t>Preventable Defaults</t>
        </is>
      </c>
      <c r="B7">
        <f>ROUND(B4*Assumptions!$B$4,0)</f>
        <v/>
      </c>
    </row>
    <row r="8">
      <c r="A8" t="inlineStr">
        <is>
          <t>Gross Loss Prevented / Cycle (USD)</t>
        </is>
      </c>
      <c r="B8" s="17">
        <f>B7*Assumptions!$B$2*Assumptions!$B$3</f>
        <v/>
      </c>
    </row>
    <row r="9">
      <c r="A9" t="inlineStr">
        <is>
          <t>False-Positive Review Cost / Cycle (USD)</t>
        </is>
      </c>
      <c r="B9" s="17">
        <f>B5*Assumptions!$B$5</f>
        <v/>
      </c>
    </row>
    <row r="10">
      <c r="A10" t="inlineStr">
        <is>
          <t>Net Benefit / Cycle (USD)</t>
        </is>
      </c>
      <c r="B10" s="17">
        <f>B8-B9</f>
        <v/>
      </c>
    </row>
    <row r="11">
      <c r="A11" t="inlineStr">
        <is>
          <t>Annual Net Benefit (USD)</t>
        </is>
      </c>
      <c r="B11" s="17">
        <f>B10*Assumptions!$B$7</f>
        <v/>
      </c>
    </row>
  </sheetData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</cols>
  <sheetData>
    <row r="1">
      <c r="A1" s="11" t="inlineStr">
        <is>
          <t>From State</t>
        </is>
      </c>
      <c r="B1" s="11" t="inlineStr">
        <is>
          <t>To Low Severity</t>
        </is>
      </c>
      <c r="C1" s="11" t="inlineStr">
        <is>
          <t>To Moderate Severity</t>
        </is>
      </c>
      <c r="D1" s="11" t="inlineStr">
        <is>
          <t>To Severe</t>
        </is>
      </c>
    </row>
    <row r="2">
      <c r="A2" t="inlineStr">
        <is>
          <t>Low Severity</t>
        </is>
      </c>
      <c r="B2" s="18" t="n">
        <v>0.9421284274067897</v>
      </c>
      <c r="C2" s="18" t="n">
        <v>0.05782408822595436</v>
      </c>
      <c r="D2" s="18" t="n">
        <v>4.748436725596745e-05</v>
      </c>
    </row>
    <row r="3">
      <c r="A3" t="inlineStr">
        <is>
          <t>Moderate Severity</t>
        </is>
      </c>
      <c r="B3" s="18" t="n">
        <v>0.06130181877765033</v>
      </c>
      <c r="C3" s="18" t="n">
        <v>0.8746839961611386</v>
      </c>
      <c r="D3" s="18" t="n">
        <v>0.06401418506121112</v>
      </c>
    </row>
    <row r="4">
      <c r="A4" t="inlineStr">
        <is>
          <t>Severe</t>
        </is>
      </c>
      <c r="B4" s="18" t="n">
        <v>7.444597306842478e-05</v>
      </c>
      <c r="C4" s="18" t="n">
        <v>0.04415241770742137</v>
      </c>
      <c r="D4" s="18" t="n">
        <v>0.9557731363195102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4" customWidth="1" min="3" max="3"/>
    <col width="14" customWidth="1" min="4" max="4"/>
    <col width="14" customWidth="1" min="5" max="5"/>
  </cols>
  <sheetData>
    <row r="1">
      <c r="A1" s="11" t="inlineStr">
        <is>
          <t>State</t>
        </is>
      </c>
      <c r="B1" s="11" t="inlineStr">
        <is>
          <t>N</t>
        </is>
      </c>
      <c r="C1" s="11" t="inlineStr">
        <is>
          <t>Population %</t>
        </is>
      </c>
      <c r="D1" s="11" t="inlineStr">
        <is>
          <t>N Defaulters</t>
        </is>
      </c>
      <c r="E1" s="11" t="inlineStr">
        <is>
          <t>Default Rate</t>
        </is>
      </c>
    </row>
    <row r="2">
      <c r="A2" t="inlineStr">
        <is>
          <t>Low Severity</t>
        </is>
      </c>
      <c r="B2" t="n">
        <v>29064</v>
      </c>
      <c r="C2" s="16" t="n">
        <v>0.3166599479206389</v>
      </c>
      <c r="D2" t="n">
        <v>166</v>
      </c>
      <c r="E2" s="19" t="n">
        <v>0.005711533168180567</v>
      </c>
    </row>
    <row r="3">
      <c r="A3" t="inlineStr">
        <is>
          <t>Moderate Severity</t>
        </is>
      </c>
      <c r="B3" t="n">
        <v>28435</v>
      </c>
      <c r="C3" s="16" t="n">
        <v>0.3098068269723152</v>
      </c>
      <c r="D3" t="n">
        <v>2606</v>
      </c>
      <c r="E3" s="19" t="n">
        <v>0.09164761737295586</v>
      </c>
    </row>
    <row r="4">
      <c r="A4" t="inlineStr">
        <is>
          <t>Severe</t>
        </is>
      </c>
      <c r="B4" t="n">
        <v>34284</v>
      </c>
      <c r="C4" s="16" t="n">
        <v>0.373533225107046</v>
      </c>
      <c r="D4" t="n">
        <v>20994</v>
      </c>
      <c r="E4" s="19" t="n">
        <v>0.6123556177808891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40" customWidth="1" min="1" max="1"/>
    <col width="100" customWidth="1" min="2" max="2"/>
  </cols>
  <sheetData>
    <row r="1">
      <c r="A1" s="11" t="inlineStr">
        <is>
          <t>Org Level</t>
        </is>
      </c>
      <c r="B1" s="11" t="inlineStr">
        <is>
          <t>Suggestion</t>
        </is>
      </c>
    </row>
    <row r="2">
      <c r="A2" t="inlineStr">
        <is>
          <t>Collections Ops / Frontline Risk Analysts</t>
        </is>
      </c>
      <c r="B2" s="13" t="inlineStr">
        <is>
          <t>Work the 4,042-account escalation list from the real-time roll-rate scoring service (4.0% real defaulter capture among escalated accounts) as new statements land -- an ESCALATED flag means the customer's OBSERVED last transition moved to a strictly worse delinquency severity tier, a realized behavioral event, so route these accounts to same-cycle outreach ahead of accounts merely sitting in a high-severity state without a fresh escalation.</t>
        </is>
      </c>
    </row>
    <row r="3">
      <c r="A3" t="inlineStr">
        <is>
          <t>Portfolio Risk Team Lead</t>
        </is>
      </c>
      <c r="B3" s="13" t="inlineStr">
        <is>
          <t>Track the 168-account intervention goal (from the 18% ASSUMPTION success rate) and the 3,109 real false positives (review-cost exposure) as paired weekly KPIs, exactly as Problems 6 and 7 track their own pairs -- all three platforms trade the same true-positive/false-positive tension via different mechanisms (a trained model, a statistical deviation count, and this technique's observed Markov-state transition).</t>
        </is>
      </c>
    </row>
    <row r="4">
      <c r="A4" t="inlineStr">
        <is>
          <t>Risk / Credit Analyst</t>
        </is>
      </c>
      <c r="B4" s="13" t="inlineStr">
        <is>
          <t>Monitor the real severe/low default-rate ratio (107.21x, 95% CI [92.78x, 125.17x]) and the transition coherence gap (0.9557, 95% CI [0.9550, 0.9564]) every cycle -- these are this technique's TWO hard-gate KPIs, and on this run the coherence gap is positive, as required, so both must be watched, not just the tier-separation ratio alone.</t>
        </is>
      </c>
    </row>
    <row r="5">
      <c r="A5" t="inlineStr">
        <is>
          <t>Model Risk / Compliance (SR 11-7)</t>
        </is>
      </c>
      <c r="B5" s="13" t="inlineStr">
        <is>
          <t>File Notebook 48's bootstrap ratio/coherence-gap/AUC CIs, split-half severity-score PSI (0.0001), and both hard-gate KPI results (monotonicity=True, coherence=True) with the technique's annual governance packet; note this is a fitted composite score plus an empirical Markov transition matrix, not a trained classifier, so its governance review should assess policy-parameter and transition-matrix stability, not model retraining cadence. Currently RECOMMENDED for production.</t>
        </is>
      </c>
    </row>
    <row r="6">
      <c r="A6" t="inlineStr">
        <is>
          <t>Finance / Provisioning Team</t>
        </is>
      </c>
      <c r="B6" s="13" t="inlineStr">
        <is>
          <t>Use the 933 escalation-flagged real defaulters to trigger SAME-CYCLE reserve-timing reviews on accounts whose delinquency severity tier just worsened -- this is a directly observed behavioral event, distinct from Problem 6's trained-model score or Problem 7's statistical deviation count -- coordinate with Problem 3's ECL work and Problem 4's tier-differentiated LGD for the $ reserve amount per escalated account (do not double-count against Problem 6/7's own reserve triggers for the same customer in the same cycle).</t>
        </is>
      </c>
    </row>
    <row r="7">
      <c r="A7" t="inlineStr">
        <is>
          <t>CFO / Executive Leadership</t>
        </is>
      </c>
      <c r="B7" s="13" t="inlineStr">
        <is>
          <t>Approve the $40,000 investment given an estimated 0.1 months payback and 9,375% Year-1 ROI (net of estimated false-positive review cost) from monthly-equivalent escalation triage; note the deployment status is currently RECOMMENDED on this run because the transition coherence hard-gate KPI is met -- financial figures below are reported honestly regardless, per the platform's zero-fabrication standard, and should inform a go/no-go decision alongside the KPI result, not in place of it.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2026-08-25T13:42:56Z</dcterms:created>
  <dcterms:modified xmlns:dcterms="http://purl.org/dc/terms/" xmlns:xsi="http://www.w3.org/2001/XMLSchema-instance" xsi:type="dcterms:W3CDTF">2026-08-25T13:42:56Z</dcterms:modified>
</cp:coreProperties>
</file>