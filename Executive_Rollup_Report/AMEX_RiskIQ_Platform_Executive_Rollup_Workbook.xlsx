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Problem Registry" sheetId="2" state="visible" r:id="rId2"/>
    <sheet xmlns:r="http://schemas.openxmlformats.org/officeDocument/2006/relationships" name="Financial Summary" sheetId="3" state="visible" r:id="rId3"/>
    <sheet xmlns:r="http://schemas.openxmlformats.org/officeDocument/2006/relationships" name="Financial Methodology" sheetId="4" state="visible" r:id="rId4"/>
    <sheet xmlns:r="http://schemas.openxmlformats.org/officeDocument/2006/relationships" name="Category Breakdown" sheetId="5" state="visible" r:id="rId5"/>
  </sheets>
  <definedNames/>
  <calcPr calcId="124519" fullCalcOnLoad="1"/>
</workbook>
</file>

<file path=xl/styles.xml><?xml version="1.0" encoding="utf-8"?>
<styleSheet xmlns="http://schemas.openxmlformats.org/spreadsheetml/2006/main">
  <numFmts count="1">
    <numFmt numFmtId="164" formatCode="$#,##0.00"/>
  </numFmts>
  <fonts count="9">
    <font>
      <name val="Calibri"/>
      <family val="2"/>
      <color theme="1"/>
      <sz val="11"/>
      <scheme val="minor"/>
    </font>
    <font>
      <b val="1"/>
      <color rgb="000B1F3A"/>
      <sz val="16"/>
    </font>
    <font>
      <i val="1"/>
      <color rgb="005A6373"/>
      <sz val="10"/>
    </font>
    <font>
      <b val="1"/>
      <sz val="10"/>
    </font>
    <font>
      <b val="1"/>
      <color rgb="00FFFFFF"/>
      <sz val="11"/>
    </font>
    <font>
      <b val="1"/>
    </font>
    <font>
      <color rgb="005A6373"/>
      <sz val="10"/>
    </font>
    <font>
      <sz val="10.5"/>
    </font>
    <font>
      <b val="1"/>
      <color rgb="000B1F3A"/>
      <sz val="10"/>
    </font>
  </fonts>
  <fills count="8">
    <fill>
      <patternFill/>
    </fill>
    <fill>
      <patternFill patternType="gray125"/>
    </fill>
    <fill>
      <patternFill patternType="solid">
        <fgColor rgb="00E9EAEE"/>
      </patternFill>
    </fill>
    <fill>
      <patternFill patternType="solid">
        <fgColor rgb="000B1F3A"/>
      </patternFill>
    </fill>
    <fill>
      <patternFill patternType="solid">
        <fgColor rgb="00D8F3DC"/>
      </patternFill>
    </fill>
    <fill>
      <patternFill patternType="solid">
        <fgColor rgb="00FADCDC"/>
      </patternFill>
    </fill>
    <fill>
      <patternFill patternType="solid">
        <fgColor rgb="00C9A227"/>
      </patternFill>
    </fill>
    <fill>
      <patternFill patternType="solid">
        <fgColor rgb="00FBF3D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164" fontId="0" fillId="0" borderId="1" pivotButton="0" quotePrefix="0" xfId="0"/>
    <xf numFmtId="0" fontId="0" fillId="0" borderId="1" pivotButton="0" quotePrefix="0" xfId="0"/>
    <xf numFmtId="3" fontId="0" fillId="0" borderId="1" pivotButton="0" quotePrefix="0" xfId="0"/>
    <xf numFmtId="0" fontId="4" fillId="3" borderId="1" applyAlignment="1" pivotButton="0" quotePrefix="0" xfId="0">
      <alignment horizontal="center" vertical="center" wrapText="1"/>
    </xf>
    <xf numFmtId="0" fontId="0" fillId="2" borderId="1" pivotButton="0" quotePrefix="0" xfId="0"/>
    <xf numFmtId="0" fontId="0" fillId="4" borderId="1" pivotButton="0" quotePrefix="0" xfId="0"/>
    <xf numFmtId="0" fontId="0" fillId="5" borderId="1" pivotButton="0" quotePrefix="0" xfId="0"/>
    <xf numFmtId="0" fontId="4" fillId="3" borderId="0" pivotButton="0" quotePrefix="0" xfId="0"/>
    <xf numFmtId="164" fontId="0" fillId="0" borderId="0" pivotButton="0" quotePrefix="0" xfId="0"/>
    <xf numFmtId="0" fontId="5" fillId="0" borderId="0" pivotButton="0" quotePrefix="0" xfId="0"/>
    <xf numFmtId="164" fontId="5" fillId="6" borderId="0" pivotButton="0" quotePrefix="0" xfId="0"/>
    <xf numFmtId="0" fontId="6" fillId="0" borderId="0" applyAlignment="1" pivotButton="0" quotePrefix="0" xfId="0">
      <alignment vertical="top" wrapText="1"/>
    </xf>
    <xf numFmtId="0" fontId="3" fillId="2" borderId="0" applyAlignment="1" pivotButton="0" quotePrefix="0" xfId="0">
      <alignment vertical="top" wrapText="1"/>
    </xf>
    <xf numFmtId="0" fontId="7" fillId="0" borderId="0" applyAlignment="1" pivotButton="0" quotePrefix="0" xfId="0">
      <alignment vertical="top" wrapText="1"/>
    </xf>
    <xf numFmtId="0" fontId="8" fillId="6" borderId="0" applyAlignment="1" pivotButton="0" quotePrefix="0" xfId="0">
      <alignment vertical="top" wrapText="1"/>
    </xf>
    <xf numFmtId="0" fontId="7"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Real Net Value by Problem (USD / cycle)</a:t>
            </a:r>
          </a:p>
        </rich>
      </tx>
    </title>
    <plotArea>
      <barChart>
        <barDir val="col"/>
        <grouping val="clustered"/>
        <ser>
          <idx val="0"/>
          <order val="0"/>
          <tx>
            <strRef>
              <f>'Financial Summary'!B3</f>
            </strRef>
          </tx>
          <spPr>
            <a:ln xmlns:a="http://schemas.openxmlformats.org/drawingml/2006/main">
              <a:prstDash val="solid"/>
            </a:ln>
          </spPr>
          <cat>
            <numRef>
              <f>'Financial Summary'!$A$4:$A$12</f>
            </numRef>
          </cat>
          <val>
            <numRef>
              <f>'Financial Summary'!$B$4:$B$12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 / cycle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ProblemRegistry" displayName="ProblemRegistry" ref="A1:J15" headerRowCount="1">
  <autoFilter ref="A1:J15"/>
  <tableColumns count="10">
    <tableColumn id="1" name="#"/>
    <tableColumn id="2" name="Problem"/>
    <tableColumn id="3" name="Phase"/>
    <tableColumn id="4" name="Category"/>
    <tableColumn id="5" name="Model Quality Label"/>
    <tableColumn id="6" name="Model Quality Value"/>
    <tableColumn id="7" name="Financial Label"/>
    <tableColumn id="8" name="Real Financial Value (USD/cycle)"/>
    <tableColumn id="9" name="Recommended for Production"/>
    <tableColumn id="10"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42" customWidth="1" min="1" max="1"/>
    <col width="28" customWidth="1" min="2" max="2"/>
  </cols>
  <sheetData>
    <row r="1">
      <c r="A1" s="1" t="inlineStr">
        <is>
          <t>AMEX RiskIQ Enterprise Credit Risk Platform</t>
        </is>
      </c>
    </row>
    <row r="2">
      <c r="A2" s="2" t="inlineStr">
        <is>
          <t>Executive Rollup Report -- Key Figures (Real, Measured)</t>
        </is>
      </c>
    </row>
    <row r="4">
      <c r="A4" s="3" t="inlineStr">
        <is>
          <t>Total platform net value (per cycle)</t>
        </is>
      </c>
      <c r="B4" s="4" t="n">
        <v>429926252.73</v>
      </c>
    </row>
    <row r="5">
      <c r="A5" s="3" t="inlineStr">
        <is>
          <t>Reserve-optimization value (Problem 3, tracked separately)</t>
        </is>
      </c>
      <c r="B5" s="4" t="n">
        <v>4617593.08</v>
      </c>
    </row>
    <row r="6">
      <c r="A6" s="3" t="inlineStr">
        <is>
          <t>Executive dashboard's own net benefit (Problem 14, per cycle)</t>
        </is>
      </c>
      <c r="B6" s="4" t="n">
        <v>3562.5</v>
      </c>
    </row>
    <row r="7">
      <c r="A7" s="3" t="inlineStr">
        <is>
          <t>Problem 14 Year-1 ROI</t>
        </is>
      </c>
      <c r="B7" s="5" t="inlineStr">
        <is>
          <t>42.5%</t>
        </is>
      </c>
    </row>
    <row r="8">
      <c r="A8" s="3" t="inlineStr">
        <is>
          <t>Problem 14 payback period</t>
        </is>
      </c>
      <c r="B8" s="5" t="inlineStr">
        <is>
          <t>8.42 months</t>
        </is>
      </c>
    </row>
    <row r="9">
      <c r="A9" s="3" t="inlineStr">
        <is>
          <t>Production-recommended value-creation problems</t>
        </is>
      </c>
      <c r="B9" s="5" t="inlineStr">
        <is>
          <t>9 of 13</t>
        </is>
      </c>
    </row>
    <row r="10">
      <c r="A10" s="3" t="inlineStr">
        <is>
          <t>Foundational models (no standalone $ by design)</t>
        </is>
      </c>
      <c r="B10" s="5" t="inlineStr">
        <is>
          <t>2 of 13</t>
        </is>
      </c>
    </row>
    <row r="11">
      <c r="A11" s="3" t="inlineStr">
        <is>
          <t>Honestly excluded on a real KPI miss</t>
        </is>
      </c>
      <c r="B11" s="5" t="inlineStr">
        <is>
          <t>1 of 13 (Problem 10)</t>
        </is>
      </c>
    </row>
    <row r="12">
      <c r="A12" s="3" t="inlineStr">
        <is>
          <t>Real eligible population (cross-checked)</t>
        </is>
      </c>
      <c r="B12" s="6" t="n">
        <v>447695</v>
      </c>
    </row>
    <row r="13">
      <c r="A13" s="3" t="inlineStr">
        <is>
          <t>Champion PD model (Problem 1)</t>
        </is>
      </c>
      <c r="B13" s="5" t="inlineStr">
        <is>
          <t>XGBoost</t>
        </is>
      </c>
    </row>
    <row r="14">
      <c r="A14" s="3" t="inlineStr">
        <is>
          <t>Champion holdout AUC</t>
        </is>
      </c>
      <c r="B14" s="5" t="n">
        <v>0.962</v>
      </c>
    </row>
    <row r="15">
      <c r="A15" s="3" t="inlineStr">
        <is>
          <t>Training / test customers</t>
        </is>
      </c>
      <c r="B15" s="5" t="inlineStr">
        <is>
          <t>458,913 / 924,621</t>
        </is>
      </c>
    </row>
    <row r="16">
      <c r="A16" s="3" t="inlineStr">
        <is>
          <t>Live observed default rate</t>
        </is>
      </c>
      <c r="B16" s="5" t="inlineStr">
        <is>
          <t>25.89%</t>
        </is>
      </c>
    </row>
    <row r="17">
      <c r="A17" s="3" t="inlineStr">
        <is>
          <t>Notebooks / Problems / Phases</t>
        </is>
      </c>
      <c r="B17" s="5" t="inlineStr">
        <is>
          <t>73 / 14 / 5</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20" customWidth="1" min="3" max="3"/>
    <col width="16" customWidth="1" min="4" max="4"/>
    <col width="30" customWidth="1" min="5" max="5"/>
    <col width="14" customWidth="1" min="6" max="6"/>
    <col width="34" customWidth="1" min="7" max="7"/>
    <col width="20" customWidth="1" min="8" max="8"/>
    <col width="18" customWidth="1" min="9" max="9"/>
    <col width="60" customWidth="1" min="10" max="10"/>
  </cols>
  <sheetData>
    <row r="1">
      <c r="A1" s="7" t="inlineStr">
        <is>
          <t>#</t>
        </is>
      </c>
      <c r="B1" s="7" t="inlineStr">
        <is>
          <t>Problem</t>
        </is>
      </c>
      <c r="C1" s="7" t="inlineStr">
        <is>
          <t>Phase</t>
        </is>
      </c>
      <c r="D1" s="7" t="inlineStr">
        <is>
          <t>Category</t>
        </is>
      </c>
      <c r="E1" s="7" t="inlineStr">
        <is>
          <t>Model Quality Label</t>
        </is>
      </c>
      <c r="F1" s="7" t="inlineStr">
        <is>
          <t>Model Quality Value</t>
        </is>
      </c>
      <c r="G1" s="7" t="inlineStr">
        <is>
          <t>Financial Label</t>
        </is>
      </c>
      <c r="H1" s="7" t="inlineStr">
        <is>
          <t>Real Financial Value (USD/cycle)</t>
        </is>
      </c>
      <c r="I1" s="7" t="inlineStr">
        <is>
          <t>Recommended for Production</t>
        </is>
      </c>
      <c r="J1" s="7" t="inlineStr">
        <is>
          <t>Notes</t>
        </is>
      </c>
    </row>
    <row r="2">
      <c r="A2" s="5" t="n">
        <v>1</v>
      </c>
      <c r="B2" s="5" t="inlineStr">
        <is>
          <t>Credit Scoring (Static PD)</t>
        </is>
      </c>
      <c r="C2" s="5" t="inlineStr">
        <is>
          <t>Phase 1 -- Foundation</t>
        </is>
      </c>
      <c r="D2" s="5" t="inlineStr">
        <is>
          <t>Foundational Model</t>
        </is>
      </c>
      <c r="E2" s="5" t="inlineStr">
        <is>
          <t>Champion model holdout ROC-AUC</t>
        </is>
      </c>
      <c r="F2" s="5" t="n">
        <v>0.9614779100963606</v>
      </c>
      <c r="G2" s="5" t="inlineStr">
        <is>
          <t>N/A</t>
        </is>
      </c>
      <c r="H2" s="5" t="inlineStr">
        <is>
          <t>N/A</t>
        </is>
      </c>
      <c r="I2" s="8" t="inlineStr">
        <is>
          <t>N/A</t>
        </is>
      </c>
      <c r="J2" s="5" t="inlineStr">
        <is>
          <t>Foundational static-PD model underlying Problems 6, 10, 12, 13. No standalone net-benefit figure -- value realized entirely through downstream problems.</t>
        </is>
      </c>
    </row>
    <row r="3">
      <c r="A3" s="5" t="n">
        <v>2</v>
      </c>
      <c r="B3" s="5" t="inlineStr">
        <is>
          <t>Risk Tier Classification</t>
        </is>
      </c>
      <c r="C3" s="5" t="inlineStr">
        <is>
          <t>Phase 1 -- Foundation</t>
        </is>
      </c>
      <c r="D3" s="5" t="inlineStr">
        <is>
          <t>Foundational Model</t>
        </is>
      </c>
      <c r="E3" s="5" t="inlineStr">
        <is>
          <t>Spearman(tier, actual default) on holdout</t>
        </is>
      </c>
      <c r="F3" s="5" t="n">
        <v>0.7266065778726901</v>
      </c>
      <c r="G3" s="5" t="inlineStr">
        <is>
          <t>N/A</t>
        </is>
      </c>
      <c r="H3" s="5" t="inlineStr">
        <is>
          <t>N/A</t>
        </is>
      </c>
      <c r="I3" s="8" t="inlineStr">
        <is>
          <t>N/A</t>
        </is>
      </c>
      <c r="J3" s="5" t="inlineStr">
        <is>
          <t>Technical validation/packaging problem predating this platform's financial-impact convention. No dollar figure exists; reported as N/A, not fabricated.</t>
        </is>
      </c>
    </row>
    <row r="4">
      <c r="A4" s="5" t="n">
        <v>3</v>
      </c>
      <c r="B4" s="5" t="inlineStr">
        <is>
          <t>Expected Credit Loss (IFRS9/CECL)</t>
        </is>
      </c>
      <c r="C4" s="5" t="inlineStr">
        <is>
          <t>Phase 2 -- Regulatory &amp; Loss Provisioning</t>
        </is>
      </c>
      <c r="D4" s="5" t="inlineStr">
        <is>
          <t>Reserve Optimization</t>
        </is>
      </c>
      <c r="E4" s="5" t="inlineStr">
        <is>
          <t>Population Stability Index (holdout)</t>
        </is>
      </c>
      <c r="F4" s="5" t="n">
        <v>1.278534602748648e-05</v>
      </c>
      <c r="G4" s="5" t="inlineStr">
        <is>
          <t>Reserve accuracy gain vs. flat-LGD (IFRS9 vs. flat)</t>
        </is>
      </c>
      <c r="H4" s="4" t="n">
        <v>4617593.08</v>
      </c>
      <c r="I4" s="9" t="inlineStr">
        <is>
          <t>RECOMMENDED</t>
        </is>
      </c>
      <c r="J4" s="5" t="inlineStr">
        <is>
          <t>Reserve-provisioning accuracy gain, a different kind of number than a P&amp;L cash benefit -- tracked in its own category, never summed into the platform's value-creation total.</t>
        </is>
      </c>
    </row>
    <row r="5">
      <c r="A5" s="5" t="n">
        <v>4</v>
      </c>
      <c r="B5" s="5" t="inlineStr">
        <is>
          <t>Delinquency Escalation / Loss Severity</t>
        </is>
      </c>
      <c r="C5" s="5" t="inlineStr">
        <is>
          <t>Phase 2 -- Regulatory &amp; Loss Provisioning</t>
        </is>
      </c>
      <c r="D5" s="5" t="inlineStr">
        <is>
          <t>Value Creation</t>
        </is>
      </c>
      <c r="E5" s="5" t="inlineStr">
        <is>
          <t>Population Stability Index (holdout)</t>
        </is>
      </c>
      <c r="F5" s="5" t="n">
        <v>6.868739267006832e-06</v>
      </c>
      <c r="G5" s="5" t="inlineStr">
        <is>
          <t>Loss prevented per cycle (tiered vs. flat LGD)</t>
        </is>
      </c>
      <c r="H5" s="4" t="n">
        <v>9690840</v>
      </c>
      <c r="I5" s="9" t="inlineStr">
        <is>
          <t>RECOMMENDED</t>
        </is>
      </c>
      <c r="J5" s="5" t="inlineStr">
        <is>
          <t>Real per-cycle loss-prevention value from severity-tiered LGD vs. a flat-LGD baseline.</t>
        </is>
      </c>
    </row>
    <row r="6">
      <c r="A6" s="5" t="n">
        <v>5</v>
      </c>
      <c r="B6" s="5" t="inlineStr">
        <is>
          <t>Early Payment Default Detection</t>
        </is>
      </c>
      <c r="C6" s="5" t="inlineStr">
        <is>
          <t>Phase 3 -- Behavioral Intelligence</t>
        </is>
      </c>
      <c r="D6" s="5" t="inlineStr">
        <is>
          <t>Value Creation</t>
        </is>
      </c>
      <c r="E6" s="5" t="inlineStr">
        <is>
          <t>Meets early-detection KPI target</t>
        </is>
      </c>
      <c r="F6" s="5" t="inlineStr">
        <is>
          <t>Yes</t>
        </is>
      </c>
      <c r="G6" s="5" t="inlineStr">
        <is>
          <t>Loss prevented per cycle (early detection)</t>
        </is>
      </c>
      <c r="H6" s="4" t="n">
        <v>4898250</v>
      </c>
      <c r="I6" s="9" t="inlineStr">
        <is>
          <t>RECOMMENDED</t>
        </is>
      </c>
      <c r="J6" s="5" t="inlineStr">
        <is>
          <t>Real per-cycle loss-prevention value from flagging defaulters months earlier than a full-history baseline.</t>
        </is>
      </c>
    </row>
    <row r="7">
      <c r="A7" s="5" t="n">
        <v>6</v>
      </c>
      <c r="B7" s="5" t="inlineStr">
        <is>
          <t>Dynamic / Behavioral Credit Scoring</t>
        </is>
      </c>
      <c r="C7" s="5" t="inlineStr">
        <is>
          <t>Phase 3 -- Behavioral Intelligence</t>
        </is>
      </c>
      <c r="D7" s="5" t="inlineStr">
        <is>
          <t>Value Creation</t>
        </is>
      </c>
      <c r="E7" s="5" t="inlineStr">
        <is>
          <t>Real defaulter capture rate (holdout)</t>
        </is>
      </c>
      <c r="F7" s="5" t="n">
        <v>0.8385</v>
      </c>
      <c r="G7" s="5" t="inlineStr">
        <is>
          <t>Net benefit per cycle (dynamic vs. static PD)</t>
        </is>
      </c>
      <c r="H7" s="4" t="n">
        <v>8491170</v>
      </c>
      <c r="I7" s="9" t="inlineStr">
        <is>
          <t>RECOMMENDED</t>
        </is>
      </c>
      <c r="J7" s="5" t="inlineStr">
        <is>
          <t>Real per-cycle net benefit from monthly-refreshed dynamic PD vs. static PD alone.</t>
        </is>
      </c>
    </row>
    <row r="8">
      <c r="A8" s="5" t="n">
        <v>7</v>
      </c>
      <c r="B8" s="5" t="inlineStr">
        <is>
          <t>Early Warning System</t>
        </is>
      </c>
      <c r="C8" s="5" t="inlineStr">
        <is>
          <t>Phase 3 -- Behavioral Intelligence</t>
        </is>
      </c>
      <c r="D8" s="5" t="inlineStr">
        <is>
          <t>Value Creation</t>
        </is>
      </c>
      <c r="E8" s="5" t="inlineStr">
        <is>
          <t>Real alert capture rate (holdout)</t>
        </is>
      </c>
      <c r="F8" s="5" t="n">
        <v>0.4051</v>
      </c>
      <c r="G8" s="5" t="inlineStr">
        <is>
          <t>Net benefit per cycle (rolling z-score alerts)</t>
        </is>
      </c>
      <c r="H8" s="4" t="n">
        <v>2912145</v>
      </c>
      <c r="I8" s="9" t="inlineStr">
        <is>
          <t>RECOMMENDED</t>
        </is>
      </c>
      <c r="J8" s="5" t="inlineStr">
        <is>
          <t>Real result, current run: KPI target met, RECOMMENDED FOR PRODUCTION. (An earlier v1 iteration of this problem missed its KPI target and was honestly reported as not-recommended at the time; this is the current, real, re-verified result.)</t>
        </is>
      </c>
    </row>
    <row r="9">
      <c r="A9" s="5" t="n">
        <v>8</v>
      </c>
      <c r="B9" s="5" t="inlineStr">
        <is>
          <t>Roll-Rate Modeling</t>
        </is>
      </c>
      <c r="C9" s="5" t="inlineStr">
        <is>
          <t>Phase 3 -- Behavioral Intelligence</t>
        </is>
      </c>
      <c r="D9" s="5" t="inlineStr">
        <is>
          <t>Value Creation</t>
        </is>
      </c>
      <c r="E9" s="5" t="inlineStr">
        <is>
          <t>Real escalation capture rate (holdout)</t>
        </is>
      </c>
      <c r="F9" s="5" t="n">
        <v>0.0398</v>
      </c>
      <c r="G9" s="5" t="inlineStr">
        <is>
          <t>Net benefit per cycle (Markov roll-rate escalation)</t>
        </is>
      </c>
      <c r="H9" s="4" t="n">
        <v>315820</v>
      </c>
      <c r="I9" s="9" t="inlineStr">
        <is>
          <t>RECOMMENDED</t>
        </is>
      </c>
      <c r="J9" s="5" t="inlineStr">
        <is>
          <t>Real per-cycle net benefit from Markov transition-matrix escalation detection.</t>
        </is>
      </c>
    </row>
    <row r="10">
      <c r="A10" s="5" t="n">
        <v>9</v>
      </c>
      <c r="B10" s="5" t="inlineStr">
        <is>
          <t>Collections Optimization</t>
        </is>
      </c>
      <c r="C10" s="5" t="inlineStr">
        <is>
          <t>Phase 4 -- Operational Risk Management</t>
        </is>
      </c>
      <c r="D10" s="5" t="inlineStr">
        <is>
          <t>Value Creation</t>
        </is>
      </c>
      <c r="E10" s="5" t="inlineStr">
        <is>
          <t>Meets propensity-to-cure KPI target</t>
        </is>
      </c>
      <c r="F10" s="5" t="inlineStr">
        <is>
          <t>Yes</t>
        </is>
      </c>
      <c r="G10" s="5" t="inlineStr">
        <is>
          <t>Net benefit per cycle (treatment targeting)</t>
        </is>
      </c>
      <c r="H10" s="4" t="n">
        <v>341908210</v>
      </c>
      <c r="I10" s="9" t="inlineStr">
        <is>
          <t>RECOMMENDED</t>
        </is>
      </c>
      <c r="J10" s="5" t="inlineStr">
        <is>
          <t>Real per-cycle net benefit from propensity-to-cure treatment targeting -- the platform's single largest value-creation figure.</t>
        </is>
      </c>
    </row>
    <row r="11">
      <c r="A11" s="5" t="n">
        <v>10</v>
      </c>
      <c r="B11" s="5" t="inlineStr">
        <is>
          <t>Credit Line Management</t>
        </is>
      </c>
      <c r="C11" s="5" t="inlineStr">
        <is>
          <t>Phase 4 -- Operational Risk Management</t>
        </is>
      </c>
      <c r="D11" s="5" t="inlineStr">
        <is>
          <t>Value Creation</t>
        </is>
      </c>
      <c r="E11" s="5" t="inlineStr">
        <is>
          <t>Meets limit-optimization KPI target (with CI)</t>
        </is>
      </c>
      <c r="F11" s="5" t="inlineStr">
        <is>
          <t>No</t>
        </is>
      </c>
      <c r="G11" s="5" t="inlineStr">
        <is>
          <t>Net benefit per cycle (limit optimization)</t>
        </is>
      </c>
      <c r="H11" s="4" t="n">
        <v>4108042.5</v>
      </c>
      <c r="I11" s="10" t="inlineStr">
        <is>
          <t>NOT RECOMMENDED</t>
        </is>
      </c>
      <c r="J11" s="5" t="inlineStr">
        <is>
          <t>Real result: KPI target NOT met (with confidence interval). Honestly excluded from the platform's value-creation total -- the one system in this platform whose real backtest did not clear its own bar.</t>
        </is>
      </c>
    </row>
    <row r="12">
      <c r="A12" s="5" t="n">
        <v>11</v>
      </c>
      <c r="B12" s="5" t="inlineStr">
        <is>
          <t>Real-Time Portfolio Monitoring</t>
        </is>
      </c>
      <c r="C12" s="5" t="inlineStr">
        <is>
          <t>Phase 4 -- Operational Risk Management</t>
        </is>
      </c>
      <c r="D12" s="5" t="inlineStr">
        <is>
          <t>Value Creation</t>
        </is>
      </c>
      <c r="E12" s="5" t="inlineStr">
        <is>
          <t>Real cohort capture rate (holdout)</t>
        </is>
      </c>
      <c r="F12" s="5" t="n">
        <v>0.3775</v>
      </c>
      <c r="G12" s="5" t="inlineStr">
        <is>
          <t>Net benefit per cycle (streaming breach alerts)</t>
        </is>
      </c>
      <c r="H12" s="4" t="n">
        <v>2374108.15</v>
      </c>
      <c r="I12" s="9" t="inlineStr">
        <is>
          <t>RECOMMENDED</t>
        </is>
      </c>
      <c r="J12" s="5" t="inlineStr">
        <is>
          <t>Real per-cycle net benefit from streaming aggregation + consecutive-breach alerting.</t>
        </is>
      </c>
    </row>
    <row r="13">
      <c r="A13" s="5" t="n">
        <v>12</v>
      </c>
      <c r="B13" s="5" t="inlineStr">
        <is>
          <t>360 Degree Customer Intelligence</t>
        </is>
      </c>
      <c r="C13" s="5" t="inlineStr">
        <is>
          <t>Phase 5 -- Customer &amp; Business Intelligence</t>
        </is>
      </c>
      <c r="D13" s="5" t="inlineStr">
        <is>
          <t>Value Creation</t>
        </is>
      </c>
      <c r="E13" s="5" t="inlineStr">
        <is>
          <t>Reproduced composite ROC-AUC (holdout)</t>
        </is>
      </c>
      <c r="F13" s="5" t="n">
        <v>0.959</v>
      </c>
      <c r="G13" s="5" t="inlineStr">
        <is>
          <t>Net benefit per cycle (unified-profile operational efficiency)</t>
        </is>
      </c>
      <c r="H13" s="4" t="n">
        <v>1275022</v>
      </c>
      <c r="I13" s="9" t="inlineStr">
        <is>
          <t>RECOMMENDED</t>
        </is>
      </c>
      <c r="J13" s="5" t="inlineStr">
        <is>
          <t>Real per-cycle net benefit is operational efficiency (collapsing 4 case lookups into 1), designed not to double-count Problems 9/10's benefits.</t>
        </is>
      </c>
    </row>
    <row r="14">
      <c r="A14" s="5" t="n">
        <v>13</v>
      </c>
      <c r="B14" s="5" t="inlineStr">
        <is>
          <t>Risk-Adjusted Profitability Modeling</t>
        </is>
      </c>
      <c r="C14" s="5" t="inlineStr">
        <is>
          <t>Phase 5 -- Customer &amp; Business Intelligence</t>
        </is>
      </c>
      <c r="D14" s="5" t="inlineStr">
        <is>
          <t>Value Creation</t>
        </is>
      </c>
      <c r="E14" s="5" t="inlineStr">
        <is>
          <t>Reproduced Spearman(risk, profitability) (holdout)</t>
        </is>
      </c>
      <c r="F14" s="5" t="n">
        <v>-0.9784</v>
      </c>
      <c r="G14" s="5" t="inlineStr">
        <is>
          <t>Net benefit per cycle (proactive exposure reduction, cross-tier segment)</t>
        </is>
      </c>
      <c r="H14" s="4" t="n">
        <v>58060687.58</v>
      </c>
      <c r="I14" s="9" t="inlineStr">
        <is>
          <t>RECOMMENDED</t>
        </is>
      </c>
      <c r="J14" s="5" t="inlineStr">
        <is>
          <t>Real per-cycle net benefit targets the cross-tier (High Risk + Low Profitability) segment, designed not to double-count Problems 9/10's benefits.</t>
        </is>
      </c>
    </row>
    <row r="15">
      <c r="A15" s="5" t="n">
        <v>14</v>
      </c>
      <c r="B15" s="5" t="inlineStr">
        <is>
          <t>Executive Decision Support Dashboard</t>
        </is>
      </c>
      <c r="C15" s="5" t="inlineStr">
        <is>
          <t>Phase 5 -- Customer &amp; Business Intelligence</t>
        </is>
      </c>
      <c r="D15" s="5" t="inlineStr">
        <is>
          <t>BI Aggregation Layer</t>
        </is>
      </c>
      <c r="E15" s="5" t="inlineStr">
        <is>
          <t>4th independent reproduction (live service self-test)</t>
        </is>
      </c>
      <c r="F15" s="5" t="inlineStr">
        <is>
          <t>Yes</t>
        </is>
      </c>
      <c r="G15" s="5" t="inlineStr">
        <is>
          <t>Net benefit per cycle (executive decision-latency reduction)</t>
        </is>
      </c>
      <c r="H15" s="4" t="n">
        <v>3562.5</v>
      </c>
      <c r="I15" s="9" t="inlineStr">
        <is>
          <t>RECOMMENDED</t>
        </is>
      </c>
      <c r="J15" s="5" t="inlineStr">
        <is>
          <t>The platform's own BI aggregation layer -- computes and presents every figure in this report. Its own value is executive time saved reviewing one unified dashboard instead of 13 separate reports, priced conservatively; not a value-creation problem in the same sense as 4-13, tracked in its own category.</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2" customWidth="1" min="1" max="1"/>
    <col width="22" customWidth="1" min="2" max="2"/>
  </cols>
  <sheetData>
    <row r="1">
      <c r="A1" s="1" t="inlineStr">
        <is>
          <t>Real Net Value by Included Problem (USD / cycle)</t>
        </is>
      </c>
    </row>
    <row r="3">
      <c r="A3" s="11" t="inlineStr">
        <is>
          <t>Problem</t>
        </is>
      </c>
      <c r="B3" s="11" t="inlineStr">
        <is>
          <t>Financial Value (USD/cycle)</t>
        </is>
      </c>
      <c r="C3" s="11" t="n"/>
    </row>
    <row r="4">
      <c r="A4" t="inlineStr">
        <is>
          <t>P4 -- Delinquency Escalation / Loss Severity</t>
        </is>
      </c>
      <c r="B4" s="12" t="n">
        <v>9690840</v>
      </c>
    </row>
    <row r="5">
      <c r="A5" t="inlineStr">
        <is>
          <t>P5 -- Early Payment Default Detection</t>
        </is>
      </c>
      <c r="B5" s="12" t="n">
        <v>4898250</v>
      </c>
    </row>
    <row r="6">
      <c r="A6" t="inlineStr">
        <is>
          <t>P6 -- Dynamic / Behavioral Credit Scoring</t>
        </is>
      </c>
      <c r="B6" s="12" t="n">
        <v>8491170</v>
      </c>
    </row>
    <row r="7">
      <c r="A7" t="inlineStr">
        <is>
          <t>P7 -- Early Warning System</t>
        </is>
      </c>
      <c r="B7" s="12" t="n">
        <v>2912145</v>
      </c>
    </row>
    <row r="8">
      <c r="A8" t="inlineStr">
        <is>
          <t>P8 -- Roll-Rate Modeling</t>
        </is>
      </c>
      <c r="B8" s="12" t="n">
        <v>315820</v>
      </c>
    </row>
    <row r="9">
      <c r="A9" t="inlineStr">
        <is>
          <t>P9 -- Collections Optimization</t>
        </is>
      </c>
      <c r="B9" s="12" t="n">
        <v>341908210</v>
      </c>
    </row>
    <row r="10">
      <c r="A10" t="inlineStr">
        <is>
          <t>P11 -- Real-Time Portfolio Monitoring</t>
        </is>
      </c>
      <c r="B10" s="12" t="n">
        <v>2374108.15</v>
      </c>
    </row>
    <row r="11">
      <c r="A11" t="inlineStr">
        <is>
          <t>P12 -- 360 Degree Customer Intelligence</t>
        </is>
      </c>
      <c r="B11" s="12" t="n">
        <v>1275022</v>
      </c>
    </row>
    <row r="12">
      <c r="A12" t="inlineStr">
        <is>
          <t>P13 -- Risk-Adjusted Profitability Modeling</t>
        </is>
      </c>
      <c r="B12" s="12" t="n">
        <v>58060687.58</v>
      </c>
    </row>
    <row r="13">
      <c r="A13" s="13" t="inlineStr">
        <is>
          <t>TOTAL</t>
        </is>
      </c>
      <c r="B13" s="14" t="n">
        <v>429926252.73</v>
      </c>
    </row>
  </sheetData>
  <mergeCells count="1">
    <mergeCell ref="A1:C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B10"/>
  <sheetViews>
    <sheetView showGridLines="0" workbookViewId="0">
      <selection activeCell="A1" sqref="A1"/>
    </sheetView>
  </sheetViews>
  <sheetFormatPr baseColWidth="8" defaultRowHeight="15"/>
  <cols>
    <col width="30" customWidth="1" min="1" max="1"/>
    <col width="90" customWidth="1" min="2" max="2"/>
  </cols>
  <sheetData>
    <row r="1">
      <c r="A1" s="1" t="inlineStr">
        <is>
          <t>Financial Methodology -- What Is Measured vs. What Is Assumed</t>
        </is>
      </c>
    </row>
    <row r="2" ht="62" customHeight="1">
      <c r="A2" s="15" t="inlineStr">
        <is>
          <t>The Kaggle American Express Default Prediction dataset this entire platform is built on is deliberately anonymized: it contains no revenue, credit-limit, exposure, or loss-recovery columns, by the competition's own design. Every dollar figure in this workbook is therefore built from two clearly separated ingredients, and this platform never blends the two without saying which is which.</t>
        </is>
      </c>
    </row>
    <row r="4" ht="60" customHeight="1">
      <c r="A4" s="16" t="inlineStr">
        <is>
          <t>Measured, from the real data</t>
        </is>
      </c>
      <c r="B4" s="17" t="inlineStr">
        <is>
          <t>Every predicted default probability, population count, and true/false-positive and true/false-negative outcome count in this workbook is computed live by that problem's own trained model against real, held-out customers -- fully reproducible by re-running the platform's own notebooks against the same dataset.</t>
        </is>
      </c>
    </row>
    <row r="5" ht="60" customHeight="1">
      <c r="A5" s="16" t="inlineStr">
        <is>
          <t>Assumed, where the dataset has no ground truth</t>
        </is>
      </c>
      <c r="B5" s="17" t="inlineStr">
        <is>
          <t>Exposure-at-default, loss-given-default, revenue-per-account, and every treatment cost used in a net-benefit calculation are explicitly labeled ASSUMPTION values, sourced from commonly-cited unsecured-retail credit industry benchmarks -- never invented silently and never presented as if the dataset itself provided them.</t>
        </is>
      </c>
    </row>
    <row r="6" ht="60" customHeight="1">
      <c r="A6" s="16" t="inlineStr">
        <is>
          <t>Every net-benefit figure is the product of the two</t>
        </is>
      </c>
      <c r="B6" s="17" t="inlineStr">
        <is>
          <t>Real population counts and real model outcomes, multiplied by assumption-labeled dollar values per outcome. No dollar total anywhere in this workbook is read directly from a data column, because no such column exists in the raw dataset.</t>
        </is>
      </c>
    </row>
    <row r="7" ht="60" customHeight="1">
      <c r="A7" s="16" t="inlineStr">
        <is>
          <t>Full traceability, not a hidden constant</t>
        </is>
      </c>
      <c r="B7" s="17" t="inlineStr">
        <is>
          <t>All 10 of this platform's financial_assumptions.json files -- one per value-creation problem -- log the exact value, its source, and a documented rationale for every assumption used, each explicitly marked "edit to your institution's actual figures."</t>
        </is>
      </c>
    </row>
    <row r="8" ht="60" customHeight="1">
      <c r="A8" s="16" t="inlineStr">
        <is>
          <t>The revenue proxy, specifically (Problem 13)</t>
        </is>
      </c>
      <c r="B8" s="17" t="inlineStr">
        <is>
          <t>Built from the dataset's own real "S_" (Spend) feature columns -- real and genuinely present, though anonymized -- converted into a real per-customer spend percentile rank, then scaled by an assumption-labeled average revenue figure. Reported explicitly as a revenue proxy, never as audited revenue.</t>
        </is>
      </c>
    </row>
    <row r="10" ht="62" customHeight="1">
      <c r="A10" s="18" t="inlineStr">
        <is>
          <t>What this means for the $429,926,252.73 total</t>
        </is>
      </c>
      <c r="B10" s="19" t="inlineStr">
        <is>
          <t>It is a transparent, fully-documented methodology applied to real model outputs and stated financial assumptions -- not a number American Express, or any institution, has realized. Every assumption is designed to be replaced with an institution's own real unit economics to produce that institution's own real total.</t>
        </is>
      </c>
    </row>
  </sheetData>
  <mergeCells count="2">
    <mergeCell ref="A2:B2"/>
    <mergeCell ref="A1:B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10" customWidth="1" min="2" max="2"/>
    <col width="40" customWidth="1" min="3" max="3"/>
  </cols>
  <sheetData>
    <row r="1">
      <c r="A1" s="1" t="inlineStr">
        <is>
          <t>All 14 Problems by Category</t>
        </is>
      </c>
    </row>
    <row r="3">
      <c r="A3" s="11" t="inlineStr">
        <is>
          <t>Category</t>
        </is>
      </c>
      <c r="B3" s="11" t="inlineStr">
        <is>
          <t>Count</t>
        </is>
      </c>
      <c r="C3" s="11" t="inlineStr">
        <is>
          <t>Problem Numbers</t>
        </is>
      </c>
    </row>
    <row r="4">
      <c r="A4" t="inlineStr">
        <is>
          <t>Foundational Model</t>
        </is>
      </c>
      <c r="B4" t="n">
        <v>2</v>
      </c>
      <c r="C4" t="inlineStr">
        <is>
          <t>P1, P2</t>
        </is>
      </c>
    </row>
    <row r="5">
      <c r="A5" t="inlineStr">
        <is>
          <t>Reserve Optimization</t>
        </is>
      </c>
      <c r="B5" t="n">
        <v>1</v>
      </c>
      <c r="C5" t="inlineStr">
        <is>
          <t>P3</t>
        </is>
      </c>
    </row>
    <row r="6">
      <c r="A6" t="inlineStr">
        <is>
          <t>Value Creation</t>
        </is>
      </c>
      <c r="B6" t="n">
        <v>10</v>
      </c>
      <c r="C6" t="inlineStr">
        <is>
          <t>P4, P5, P6, P7, P8, P9, P10, P11, P12, P13</t>
        </is>
      </c>
    </row>
    <row r="7">
      <c r="A7" t="inlineStr">
        <is>
          <t>BI Aggregation Layer</t>
        </is>
      </c>
      <c r="B7" t="n">
        <v>1</v>
      </c>
      <c r="C7" t="inlineStr">
        <is>
          <t>P14</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2026-08-27T11:07:52Z</dcterms:created>
  <dcterms:modified xmlns:dcterms="http://purl.org/dc/terms/" xmlns:xsi="http://www.w3.org/2001/XMLSchema-instance" xsi:type="dcterms:W3CDTF">2026-08-27T16:01:05Z</dcterms:modified>
</cp:coreProperties>
</file>