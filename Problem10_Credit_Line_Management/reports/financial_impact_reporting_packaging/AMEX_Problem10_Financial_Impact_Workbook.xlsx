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ssumptions" sheetId="2" state="visible" r:id="rId2"/>
    <sheet xmlns:r="http://schemas.openxmlformats.org/officeDocument/2006/relationships" name="Credit Line Impact" sheetId="3" state="visible" r:id="rId3"/>
    <sheet xmlns:r="http://schemas.openxmlformats.org/officeDocument/2006/relationships" name="Classification Metrics (NB55)" sheetId="4" state="visible" r:id="rId4"/>
    <sheet xmlns:r="http://schemas.openxmlformats.org/officeDocument/2006/relationships" name="Action Tiers (NB54-57)" sheetId="5" state="visible" r:id="rId5"/>
    <sheet xmlns:r="http://schemas.openxmlformats.org/officeDocument/2006/relationships" name="SMART Suggestions"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Calibri"/>
      <color rgb="000000FF"/>
    </font>
    <font>
      <name val="Calibri"/>
      <b val="1"/>
      <color rgb="00FFFFFF"/>
      <sz val="16"/>
    </font>
    <font>
      <name val="Calibri"/>
      <i val="1"/>
      <color rgb="000B1F3A"/>
      <sz val="11"/>
    </font>
    <font>
      <name val="Calibri"/>
      <color rgb="000B1F3A"/>
      <sz val="11"/>
    </font>
    <font>
      <name val="Calibri"/>
      <b val="1"/>
      <color rgb="000B1F3A"/>
      <sz val="13"/>
    </font>
    <font>
      <name val="Calibri"/>
      <b val="1"/>
      <color rgb="00FFFFFF"/>
      <sz val="13"/>
    </font>
    <font>
      <name val="Calibri"/>
      <i val="1"/>
      <color rgb="008A93A6"/>
      <sz val="9"/>
    </font>
    <font>
      <name val="Calibri"/>
      <b val="1"/>
      <color rgb="00FFFFFF"/>
    </font>
  </fonts>
  <fills count="7">
    <fill>
      <patternFill/>
    </fill>
    <fill>
      <patternFill patternType="gray125"/>
    </fill>
    <fill>
      <patternFill patternType="solid">
        <fgColor rgb="00FFFF00"/>
      </patternFill>
    </fill>
    <fill>
      <patternFill patternType="solid">
        <fgColor rgb="000B1F3A"/>
      </patternFill>
    </fill>
    <fill>
      <patternFill patternType="solid">
        <fgColor rgb="00F2F4F8"/>
      </patternFill>
    </fill>
    <fill>
      <patternFill patternType="solid">
        <fgColor rgb="00C9A227"/>
      </patternFill>
    </fill>
    <fill>
      <patternFill patternType="solid">
        <fgColor rgb="00C41E3A"/>
      </patternFill>
    </fill>
  </fills>
  <borders count="1">
    <border>
      <left/>
      <right/>
      <top/>
      <bottom/>
      <diagonal/>
    </border>
  </borders>
  <cellStyleXfs count="1">
    <xf numFmtId="0" fontId="0" fillId="0" borderId="0"/>
  </cellStyleXfs>
  <cellXfs count="15">
    <xf numFmtId="0" fontId="0" fillId="0" borderId="0" pivotButton="0" quotePrefix="0" xfId="0"/>
    <xf numFmtId="0" fontId="2" fillId="3" borderId="0" pivotButton="0" quotePrefix="0" xfId="0"/>
    <xf numFmtId="0" fontId="3" fillId="0" borderId="0" pivotButton="0" quotePrefix="0" xfId="0"/>
    <xf numFmtId="0" fontId="4" fillId="0" borderId="0" pivotButton="0" quotePrefix="0" xfId="0"/>
    <xf numFmtId="0" fontId="5" fillId="4" borderId="0" applyAlignment="1" pivotButton="0" quotePrefix="0" xfId="0">
      <alignment horizontal="center" wrapText="1"/>
    </xf>
    <xf numFmtId="165" fontId="6" fillId="5" borderId="0" applyAlignment="1" pivotButton="0" quotePrefix="0" xfId="0">
      <alignment horizontal="center"/>
    </xf>
    <xf numFmtId="0" fontId="5" fillId="4" borderId="0" applyAlignment="1" pivotButton="0" quotePrefix="0" xfId="0">
      <alignment horizontal="center"/>
    </xf>
    <xf numFmtId="0" fontId="6" fillId="6" borderId="0" applyAlignment="1" pivotButton="0" quotePrefix="0" xfId="0">
      <alignment horizontal="center" wrapText="1"/>
    </xf>
    <xf numFmtId="0" fontId="7" fillId="0" borderId="0" pivotButton="0" quotePrefix="0" xfId="0"/>
    <xf numFmtId="0" fontId="8" fillId="3" borderId="0" pivotButton="0" quotePrefix="0" xfId="0"/>
    <xf numFmtId="165" fontId="1" fillId="2" borderId="0" pivotButton="0" quotePrefix="0" xfId="0"/>
    <xf numFmtId="0" fontId="0" fillId="0" borderId="0" applyAlignment="1" pivotButton="0" quotePrefix="0" xfId="0">
      <alignment vertical="top" wrapText="1"/>
    </xf>
    <xf numFmtId="164" fontId="1" fillId="2"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Real Action-Tier Population (Credit Line Model Value)</a:t>
            </a:r>
          </a:p>
        </rich>
      </tx>
    </title>
    <plotArea>
      <barChart>
        <barDir val="col"/>
        <grouping val="clustered"/>
        <ser>
          <idx val="0"/>
          <order val="0"/>
          <tx>
            <strRef>
              <f>'Credit Line Impact'!B1</f>
            </strRef>
          </tx>
          <spPr>
            <a:ln xmlns:a="http://schemas.openxmlformats.org/drawingml/2006/main">
              <a:prstDash val="solid"/>
            </a:ln>
          </spPr>
          <cat>
            <numRef>
              <f>'Credit Line Impact'!$A$2:$A$10</f>
            </numRef>
          </cat>
          <val>
            <numRef>
              <f>'Credit Line Impact'!$B$2:$B$10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Customers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Assumptions" displayName="Assumptions" ref="A1:C10" headerRowCount="1">
  <autoFilter ref="A1:C10"/>
  <tableColumns count="3">
    <tableColumn id="1" name="Assumption"/>
    <tableColumn id="2" name="Value"/>
    <tableColumn id="3" name="Source / Rationale"/>
  </tableColumns>
  <tableStyleInfo name="TableStyleMedium4" showRowStripes="1"/>
</table>
</file>

<file path=xl/tables/table2.xml><?xml version="1.0" encoding="utf-8"?>
<table xmlns="http://schemas.openxmlformats.org/spreadsheetml/2006/main" id="2" name="CreditLineImpact" displayName="CreditLineImpact" ref="A1:B17" headerRowCount="1">
  <autoFilter ref="A1:B17"/>
  <tableColumns count="2">
    <tableColumn id="1" name="Metric"/>
    <tableColumn id="2" name="Value"/>
  </tableColumns>
  <tableStyleInfo name="TableStyleMedium2" showRowStripes="1"/>
</table>
</file>

<file path=xl/tables/table3.xml><?xml version="1.0" encoding="utf-8"?>
<table xmlns="http://schemas.openxmlformats.org/spreadsheetml/2006/main" id="3" name="ClassificationMetrics" displayName="ClassificationMetrics" ref="A1:B10" headerRowCount="1">
  <autoFilter ref="A1:B10"/>
  <tableColumns count="2">
    <tableColumn id="1" name="Metric"/>
    <tableColumn id="2" name="Value"/>
  </tableColumns>
  <tableStyleInfo name="TableStyleMedium6" showRowStripes="1"/>
</table>
</file>

<file path=xl/tables/table4.xml><?xml version="1.0" encoding="utf-8"?>
<table xmlns="http://schemas.openxmlformats.org/spreadsheetml/2006/main" id="4" name="ActionTiers" displayName="ActionTiers" ref="A1:E10" headerRowCount="1">
  <autoFilter ref="A1:E10"/>
  <tableColumns count="5">
    <tableColumn id="1" name="Risk Level"/>
    <tableColumn id="2" name="Trend"/>
    <tableColumn id="3" name="Action"/>
    <tableColumn id="4" name="Rationale"/>
    <tableColumn id="5" name="Real HOLDOUT Count"/>
  </tableColumns>
  <tableStyleInfo name="TableStyleMedium6" showRowStripes="1"/>
</table>
</file>

<file path=xl/tables/table5.xml><?xml version="1.0" encoding="utf-8"?>
<table xmlns="http://schemas.openxmlformats.org/spreadsheetml/2006/main" id="5" name="SmartSuggestions" displayName="SmartSuggestions" ref="A1:B7" headerRowCount="1">
  <autoFilter ref="A1:B7"/>
  <tableColumns count="2">
    <tableColumn id="1" name="Org Level"/>
    <tableColumn id="2" name="Suggestion"/>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B2:F13"/>
  <sheetViews>
    <sheetView showGridLines="0" workbookViewId="0">
      <selection activeCell="A1" sqref="A1"/>
    </sheetView>
  </sheetViews>
  <sheetFormatPr baseColWidth="8" defaultRowHeight="15"/>
  <cols>
    <col width="32" customWidth="1" min="2" max="2"/>
    <col width="3" customWidth="1" min="3" max="3"/>
    <col width="22" customWidth="1" min="4" max="4"/>
    <col width="22" customWidth="1" min="5" max="5"/>
    <col width="3" customWidth="1" min="6" max="6"/>
  </cols>
  <sheetData>
    <row r="2">
      <c r="B2" s="1" t="inlineStr">
        <is>
          <t>AMEX RiskIQ -- Problem 10: Credit Line Management</t>
        </is>
      </c>
    </row>
    <row r="3">
      <c r="B3" s="2" t="inlineStr">
        <is>
          <t>Comprehensive Financial Impact Summary</t>
        </is>
      </c>
    </row>
    <row r="5">
      <c r="B5" s="3" t="inlineStr">
        <is>
          <t>Dynamic PD ROC-AUC (Holdout)</t>
        </is>
      </c>
      <c r="D5" s="4" t="inlineStr">
        <is>
          <t>0.9541</t>
        </is>
      </c>
    </row>
    <row r="6">
      <c r="B6" s="3" t="inlineStr">
        <is>
          <t>Risk-Level Ratio / 95% CI</t>
        </is>
      </c>
      <c r="D6" s="4" t="inlineStr">
        <is>
          <t>461.02x [357.19, 632.67]</t>
        </is>
      </c>
    </row>
    <row r="7">
      <c r="B7" s="3" t="inlineStr">
        <is>
          <t>Net Benefit / Cycle</t>
        </is>
      </c>
      <c r="D7" s="5">
        <f>'Credit Line Impact'!B16</f>
        <v/>
      </c>
    </row>
    <row r="8">
      <c r="B8" s="3" t="inlineStr">
        <is>
          <t>Amount Invested</t>
        </is>
      </c>
      <c r="D8" s="6">
        <f>"$"&amp;TEXT(Assumptions!$B$9,"#,##0")</f>
        <v/>
      </c>
    </row>
    <row r="9">
      <c r="B9" s="3" t="inlineStr">
        <is>
          <t>Estimated Year-1 ROI</t>
        </is>
      </c>
      <c r="D9" s="7" t="inlineStr">
        <is>
          <t>94,701%  (reported, see Section 6)</t>
        </is>
      </c>
    </row>
    <row r="10">
      <c r="B10" s="3" t="inlineStr">
        <is>
          <t>Estimated Payback</t>
        </is>
      </c>
      <c r="D10" s="7" t="inlineStr">
        <is>
          <t>0.0 months  (reported, see Section 6)</t>
        </is>
      </c>
    </row>
    <row r="11">
      <c r="B11" s="3" t="inlineStr">
        <is>
          <t>Deployment Status</t>
        </is>
      </c>
      <c r="D11" s="7" t="inlineStr">
        <is>
          <t>NOT RECOMMENDED for production</t>
        </is>
      </c>
    </row>
    <row r="13">
      <c r="B13" s="8" t="inlineStr">
        <is>
          <t>Row 7's Net Benefit recalculates live from the Assumptions and Credit Line Impact sheets.</t>
        </is>
      </c>
    </row>
  </sheetData>
  <mergeCells count="10">
    <mergeCell ref="D8:E8"/>
    <mergeCell ref="D6:E6"/>
    <mergeCell ref="D7:E7"/>
    <mergeCell ref="D10:E10"/>
    <mergeCell ref="B2:F2"/>
    <mergeCell ref="D11:E11"/>
    <mergeCell ref="D5:E5"/>
    <mergeCell ref="B3:F3"/>
    <mergeCell ref="D9:E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0" customWidth="1" min="1" max="1"/>
    <col width="14" customWidth="1" min="2" max="2"/>
    <col width="90" customWidth="1" min="3" max="3"/>
  </cols>
  <sheetData>
    <row r="1">
      <c r="A1" s="9" t="inlineStr">
        <is>
          <t>Assumption</t>
        </is>
      </c>
      <c r="B1" s="9" t="inlineStr">
        <is>
          <t>Value</t>
        </is>
      </c>
      <c r="C1" s="9" t="inlineStr">
        <is>
          <t>Source / Rationale</t>
        </is>
      </c>
    </row>
    <row r="2">
      <c r="A2" t="inlineStr">
        <is>
          <t>Ead Per Account Usd</t>
        </is>
      </c>
      <c r="B2" s="10" t="n">
        <v>5000</v>
      </c>
      <c r="C2" s="11" t="inlineStr">
        <is>
          <t>Notebook 08 (inherited, real value read programmatically)</t>
        </is>
      </c>
    </row>
    <row r="3">
      <c r="A3" t="inlineStr">
        <is>
          <t>Lgd Assumption</t>
        </is>
      </c>
      <c r="B3" s="12" t="n">
        <v>0.45</v>
      </c>
      <c r="C3" s="11" t="inlineStr">
        <is>
          <t>Notebook 08 (inherited, real value read programmatically)</t>
        </is>
      </c>
    </row>
    <row r="4">
      <c r="A4" t="inlineStr">
        <is>
          <t>Limit Increase Usd Large</t>
        </is>
      </c>
      <c r="B4" s="10" t="n">
        <v>2500</v>
      </c>
      <c r="C4" s="11" t="inlineStr">
        <is>
          <t>ASSUMPTION -- illustrative meaningful limit increase for a Low Risk, Trending Better customer, sized to move real spend/utilization without a large single-step exposure jump; edit to your institution's real limit-increase sizing policy.</t>
        </is>
      </c>
    </row>
    <row r="5">
      <c r="A5" t="inlineStr">
        <is>
          <t>Limit Increase Usd Small</t>
        </is>
      </c>
      <c r="B5" s="10" t="n">
        <v>750</v>
      </c>
      <c r="C5" s="11" t="inlineStr">
        <is>
          <t>ASSUMPTION -- illustrative modest limit increase (30% of the Large tier), proportionate to a less confident increase decision (Medium Risk improving, or Low Risk with no trend signal); edit to your institution's real sizing policy.</t>
        </is>
      </c>
    </row>
    <row r="6">
      <c r="A6" t="inlineStr">
        <is>
          <t>Limit Decrease Usd Small</t>
        </is>
      </c>
      <c r="B6" s="10" t="n">
        <v>750</v>
      </c>
      <c r="C6" s="11" t="inlineStr">
        <is>
          <t>ASSUMPTION -- mirrors the Small increase magnitude for symmetry: a proportionate first-step exposure reduction, not a severe cut; edit to your institution's real sizing policy.</t>
        </is>
      </c>
    </row>
    <row r="7">
      <c r="A7" t="inlineStr">
        <is>
          <t>Annual Revenue Yield On Incremental Limit Pct</t>
        </is>
      </c>
      <c r="B7" s="12" t="n">
        <v>0.15</v>
      </c>
      <c r="C7" s="11" t="inlineStr">
        <is>
          <t>ASSUMPTION -- illustrative blended net interest margin plus fee yield realized over a year on the portion of an incremental limit dollar that actually gets utilized; a single simplified figure covering assumed utilization rate x realized margin together, not a raw APR; card-industry revolving-balance yields are commonly cited in the low-to-high teens, positioned in that range; edit to your institution's real risk-adjusted portfolio yield.</t>
        </is>
      </c>
    </row>
    <row r="8">
      <c r="A8" t="inlineStr">
        <is>
          <t>Freeze Review Manual Cost Usd</t>
        </is>
      </c>
      <c r="B8" s="10" t="n">
        <v>30</v>
      </c>
      <c r="C8" s="11" t="inlineStr">
        <is>
          <t>ASSUMPTION -- illustrative credit-officer review cost per Freeze/Review case; set above Problem 8's $20 (a quick triage review of transition history) because this is a judgment call on an ACTIVE line with authority to freeze it, not a glance at history, and below Problem 6's $35 (a full account re-underwrite) since a freeze review considers the current score and trend rather than rebuilding the file from scratch; edit to your institution's actual review cost. Freeze/Review is deliberately NOT assigned an automated avoided-loss dollar value below -- Notebook 54 Section 8's own rationale frames it as 'review first, before any automated action', so pricing a guaranteed avoided loss for a case that has not actually been frozen yet would be fabricated precision; only the real review cost is priced, the same honesty standard Problem 9 applied to its own unpriced false-positive cell.</t>
        </is>
      </c>
    </row>
    <row r="9">
      <c r="A9" t="inlineStr">
        <is>
          <t>Implementation Cost Usd</t>
        </is>
      </c>
      <c r="B9" s="10" t="n">
        <v>52000</v>
      </c>
      <c r="C9" s="11" t="inlineStr">
        <is>
          <t>ASSUMPTION -- illustrative one-time build/validate/deploy cost for the real-time credit-line recommendation service and its limit-change execution workflow; set above Problem 9's $45,000 (a scoring+routing service) because actually EXECUTING a limit change requires integration with the core banking/lending system of record, not just producing a recommendation, and below Problem 6's $60,000 (a full model training/retraining pipeline) since Problem 10 composes two already-trained models rather than training a new one; edit to your institution's actual project cost.</t>
        </is>
      </c>
    </row>
    <row r="10">
      <c r="A10" t="inlineStr">
        <is>
          <t>Annual Application Cycles</t>
        </is>
      </c>
      <c r="B10" s="13" t="n">
        <v>12</v>
      </c>
      <c r="C10" s="11" t="inlineStr">
        <is>
          <t>ASSUMPTION -- monthly re-scoring cadence, matching this platform's other statement-driven, ongoing existing-book monitoring cadences; edit to your institution's actual cadence.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50" customWidth="1" min="1" max="1"/>
    <col width="20" customWidth="1" min="2" max="2"/>
  </cols>
  <sheetData>
    <row r="1">
      <c r="A1" s="9" t="inlineStr">
        <is>
          <t>Metric</t>
        </is>
      </c>
      <c r="B1" s="9" t="inlineStr">
        <is>
          <t>Value</t>
        </is>
      </c>
    </row>
    <row r="2">
      <c r="A2" t="inlineStr">
        <is>
          <t>Real Holdout Eligible Population</t>
        </is>
      </c>
      <c r="B2" t="n">
        <v>89569</v>
      </c>
    </row>
    <row r="3">
      <c r="A3" t="inlineStr">
        <is>
          <t>Increase (Large), target=0 (revenue opportunity)</t>
        </is>
      </c>
      <c r="B3" t="n">
        <v>6205</v>
      </c>
    </row>
    <row r="4">
      <c r="A4" t="inlineStr">
        <is>
          <t>Increase (Large), target=1 (amplified-loss risk)</t>
        </is>
      </c>
      <c r="B4" t="n">
        <v>24</v>
      </c>
    </row>
    <row r="5">
      <c r="A5" t="inlineStr">
        <is>
          <t>Increase (Small), target=0 (revenue opportunity)</t>
        </is>
      </c>
      <c r="B5" t="n">
        <v>31341</v>
      </c>
    </row>
    <row r="6">
      <c r="A6" t="inlineStr">
        <is>
          <t>Increase (Small), target=1 (amplified-loss risk)</t>
        </is>
      </c>
      <c r="B6" t="n">
        <v>1512</v>
      </c>
    </row>
    <row r="7">
      <c r="A7" t="inlineStr">
        <is>
          <t>Decrease (Small), target=1 (avoided loss)</t>
        </is>
      </c>
      <c r="B7" t="n">
        <v>2800</v>
      </c>
    </row>
    <row r="8">
      <c r="A8" t="inlineStr">
        <is>
          <t>Decrease (Small), target=0 (foregone revenue)</t>
        </is>
      </c>
      <c r="B8" t="n">
        <v>15506</v>
      </c>
    </row>
    <row r="9">
      <c r="A9" t="inlineStr">
        <is>
          <t>Freeze / Review (all, review-cost only)</t>
        </is>
      </c>
      <c r="B9" t="n">
        <v>13599</v>
      </c>
    </row>
    <row r="10">
      <c r="A10" t="inlineStr">
        <is>
          <t>Hold (no incremental action)</t>
        </is>
      </c>
      <c r="B10" t="n">
        <v>18582</v>
      </c>
    </row>
    <row r="11">
      <c r="A11" t="inlineStr">
        <is>
          <t>Revenue Opportunity / Cycle (USD)</t>
        </is>
      </c>
      <c r="B11" s="14">
        <f>(B3*Assumptions!$B$4+B5*Assumptions!$B$5)*Assumptions!$B$7</f>
        <v/>
      </c>
    </row>
    <row r="12">
      <c r="A12" t="inlineStr">
        <is>
          <t>Amplified Loss Cost / Cycle (USD)</t>
        </is>
      </c>
      <c r="B12" s="14">
        <f>(B4*Assumptions!$B$4+B6*Assumptions!$B$5)*Assumptions!$B$3</f>
        <v/>
      </c>
    </row>
    <row r="13">
      <c r="A13" t="inlineStr">
        <is>
          <t>Avoided Loss / Cycle (USD)</t>
        </is>
      </c>
      <c r="B13" s="14">
        <f>B7*Assumptions!$B$6*Assumptions!$B$3</f>
        <v/>
      </c>
    </row>
    <row r="14">
      <c r="A14" t="inlineStr">
        <is>
          <t>Foregone Revenue / Cycle (USD)</t>
        </is>
      </c>
      <c r="B14" s="14">
        <f>B8*Assumptions!$B$6*Assumptions!$B$7</f>
        <v/>
      </c>
    </row>
    <row r="15">
      <c r="A15" t="inlineStr">
        <is>
          <t>Freeze / Review Manual Cost / Cycle (USD)</t>
        </is>
      </c>
      <c r="B15" s="14">
        <f>B9*Assumptions!$B$8</f>
        <v/>
      </c>
    </row>
    <row r="16">
      <c r="A16" t="inlineStr">
        <is>
          <t>Net Benefit / Cycle (USD)</t>
        </is>
      </c>
      <c r="B16" s="14">
        <f>B11+B13-B12-B14-B15</f>
        <v/>
      </c>
    </row>
    <row r="17">
      <c r="A17" t="inlineStr">
        <is>
          <t>Annual Net Benefit (USD)</t>
        </is>
      </c>
      <c r="B17" s="14">
        <f>B16*Assumptions!$B$10</f>
        <v/>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6" customWidth="1" min="2" max="2"/>
  </cols>
  <sheetData>
    <row r="1">
      <c r="A1" s="9" t="inlineStr">
        <is>
          <t>Metric</t>
        </is>
      </c>
      <c r="B1" s="9" t="inlineStr">
        <is>
          <t>Value</t>
        </is>
      </c>
    </row>
    <row r="2">
      <c r="A2" t="inlineStr">
        <is>
          <t>Dynamic PD ROC-AUC (holdout)</t>
        </is>
      </c>
      <c r="B2" t="n">
        <v>0.9540999999999999</v>
      </c>
    </row>
    <row r="3">
      <c r="A3" t="inlineStr">
        <is>
          <t>Dynamic PD PR-AUC (holdout)</t>
        </is>
      </c>
      <c r="B3" t="n">
        <v>0.8796</v>
      </c>
    </row>
    <row r="4">
      <c r="A4" t="inlineStr">
        <is>
          <t>F1-optimal Threshold</t>
        </is>
      </c>
      <c r="B4" t="n">
        <v>0.4109</v>
      </c>
    </row>
    <row r="5">
      <c r="A5" t="inlineStr">
        <is>
          <t>F1-optimal Accuracy</t>
        </is>
      </c>
      <c r="B5" t="n">
        <v>0.8915999999999999</v>
      </c>
    </row>
    <row r="6">
      <c r="A6" t="inlineStr">
        <is>
          <t>F1-optimal Precision</t>
        </is>
      </c>
      <c r="B6" t="n">
        <v>0.7635999999999999</v>
      </c>
    </row>
    <row r="7">
      <c r="A7" t="inlineStr">
        <is>
          <t>F1-optimal Recall</t>
        </is>
      </c>
      <c r="B7" t="n">
        <v>0.8385</v>
      </c>
    </row>
    <row r="8">
      <c r="A8" t="inlineStr">
        <is>
          <t>F1-optimal F1</t>
        </is>
      </c>
      <c r="B8" t="n">
        <v>0.7993</v>
      </c>
    </row>
    <row r="9">
      <c r="A9" t="inlineStr">
        <is>
          <t>F1-optimal Specificity</t>
        </is>
      </c>
      <c r="B9" t="n">
        <v>0.91</v>
      </c>
    </row>
    <row r="10">
      <c r="A10" t="inlineStr">
        <is>
          <t>F1-optimal Mcc</t>
        </is>
      </c>
      <c r="B10" t="n">
        <v>0.7267</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4" customWidth="1" min="1" max="1"/>
    <col width="16" customWidth="1" min="2" max="2"/>
    <col width="18" customWidth="1" min="3" max="3"/>
    <col width="55" customWidth="1" min="4" max="4"/>
    <col width="18" customWidth="1" min="5" max="5"/>
  </cols>
  <sheetData>
    <row r="1">
      <c r="A1" s="9" t="inlineStr">
        <is>
          <t>Risk Level</t>
        </is>
      </c>
      <c r="B1" s="9" t="inlineStr">
        <is>
          <t>Trend</t>
        </is>
      </c>
      <c r="C1" s="9" t="inlineStr">
        <is>
          <t>Action</t>
        </is>
      </c>
      <c r="D1" s="9" t="inlineStr">
        <is>
          <t>Rationale</t>
        </is>
      </c>
      <c r="E1" s="9" t="inlineStr">
        <is>
          <t>Real HOLDOUT Count</t>
        </is>
      </c>
    </row>
    <row r="2">
      <c r="A2" t="inlineStr">
        <is>
          <t>Low Risk</t>
        </is>
      </c>
      <c r="B2" t="inlineStr">
        <is>
          <t>Trending Better</t>
        </is>
      </c>
      <c r="C2" t="inlineStr">
        <is>
          <t>Increase (Large)</t>
        </is>
      </c>
      <c r="D2" s="11" t="inlineStr">
        <is>
          <t>Lowest current risk, real behavior improving -- the safest, highest-confidence candidates for a meaningful limit increase.</t>
        </is>
      </c>
      <c r="E2" t="n">
        <v>6229</v>
      </c>
    </row>
    <row r="3">
      <c r="A3" t="inlineStr">
        <is>
          <t>Low Risk</t>
        </is>
      </c>
      <c r="B3" t="inlineStr">
        <is>
          <t>Stable</t>
        </is>
      </c>
      <c r="C3" t="inlineStr">
        <is>
          <t>Increase (Small)</t>
        </is>
      </c>
      <c r="D3" s="11" t="inlineStr">
        <is>
          <t>Low current risk, no deterioration signal -- a modest increase is proportionate.</t>
        </is>
      </c>
      <c r="E3" t="n">
        <v>32853</v>
      </c>
    </row>
    <row r="4">
      <c r="A4" t="inlineStr">
        <is>
          <t>Low Risk</t>
        </is>
      </c>
      <c r="B4" t="inlineStr">
        <is>
          <t>Trending Worse</t>
        </is>
      </c>
      <c r="C4" t="inlineStr">
        <is>
          <t>Hold</t>
        </is>
      </c>
      <c r="D4" s="11" t="inlineStr">
        <is>
          <t>Low current risk, but real behavior deteriorating -- hold and re-evaluate next cycle rather than increase into an emerging trend.</t>
        </is>
      </c>
      <c r="E4" t="n">
        <v>18582</v>
      </c>
    </row>
    <row r="5">
      <c r="A5" t="inlineStr">
        <is>
          <t>Medium Risk</t>
        </is>
      </c>
      <c r="B5" t="inlineStr">
        <is>
          <t>Trending Better</t>
        </is>
      </c>
      <c r="C5" t="inlineStr">
        <is>
          <t>Increase (Small)</t>
        </is>
      </c>
      <c r="D5" s="11" t="inlineStr">
        <is>
          <t>Moderate current risk offset by real improvement -- a small increase rewards the trend without ignoring the absolute level.</t>
        </is>
      </c>
      <c r="E5" t="n">
        <v>32853</v>
      </c>
    </row>
    <row r="6">
      <c r="A6" t="inlineStr">
        <is>
          <t>Medium Risk</t>
        </is>
      </c>
      <c r="B6" t="inlineStr">
        <is>
          <t>Stable</t>
        </is>
      </c>
      <c r="C6" t="inlineStr">
        <is>
          <t>Hold</t>
        </is>
      </c>
      <c r="D6" s="11" t="inlineStr">
        <is>
          <t>Moderate risk, no trend signal either way -- no action is the proportionate default.</t>
        </is>
      </c>
      <c r="E6" t="n">
        <v>18582</v>
      </c>
    </row>
    <row r="7">
      <c r="A7" t="inlineStr">
        <is>
          <t>Medium Risk</t>
        </is>
      </c>
      <c r="B7" t="inlineStr">
        <is>
          <t>Trending Worse</t>
        </is>
      </c>
      <c r="C7" t="inlineStr">
        <is>
          <t>Decrease (Small)</t>
        </is>
      </c>
      <c r="D7" s="11" t="inlineStr">
        <is>
          <t>Moderate risk and real deterioration together -- a proactive, modest exposure reduction before the trend compounds.</t>
        </is>
      </c>
      <c r="E7" t="n">
        <v>18306</v>
      </c>
    </row>
    <row r="8">
      <c r="A8" t="inlineStr">
        <is>
          <t>High Risk</t>
        </is>
      </c>
      <c r="B8" t="inlineStr">
        <is>
          <t>Trending Better</t>
        </is>
      </c>
      <c r="C8" t="inlineStr">
        <is>
          <t>Hold</t>
        </is>
      </c>
      <c r="D8" s="11" t="inlineStr">
        <is>
          <t>High absolute risk, even if genuinely improving -- not yet safe to increase; held rather than decreased in acknowledgment of the real improving trend.</t>
        </is>
      </c>
      <c r="E8" t="n">
        <v>18582</v>
      </c>
    </row>
    <row r="9">
      <c r="A9" t="inlineStr">
        <is>
          <t>High Risk</t>
        </is>
      </c>
      <c r="B9" t="inlineStr">
        <is>
          <t>Stable</t>
        </is>
      </c>
      <c r="C9" t="inlineStr">
        <is>
          <t>Decrease (Small)</t>
        </is>
      </c>
      <c r="D9" s="11" t="inlineStr">
        <is>
          <t>High risk sustained with no improvement -- a proactive exposure reduction.</t>
        </is>
      </c>
      <c r="E9" t="n">
        <v>18306</v>
      </c>
    </row>
    <row r="10">
      <c r="A10" t="inlineStr">
        <is>
          <t>High Risk</t>
        </is>
      </c>
      <c r="B10" t="inlineStr">
        <is>
          <t>Trending Worse</t>
        </is>
      </c>
      <c r="C10" t="inlineStr">
        <is>
          <t>Freeze / Review</t>
        </is>
      </c>
      <c r="D10" s="11" t="inlineStr">
        <is>
          <t>Highest current risk AND real deterioration -- the customers an operations team should manually review first, before any automated action, for possible line freeze.</t>
        </is>
      </c>
      <c r="E10" t="n">
        <v>13599</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0" customWidth="1" min="1" max="1"/>
    <col width="100" customWidth="1" min="2" max="2"/>
  </cols>
  <sheetData>
    <row r="1">
      <c r="A1" s="9" t="inlineStr">
        <is>
          <t>Org Level</t>
        </is>
      </c>
      <c r="B1" s="9" t="inlineStr">
        <is>
          <t>Suggestion</t>
        </is>
      </c>
    </row>
    <row r="2">
      <c r="A2" t="inlineStr">
        <is>
          <t>Credit Line Ops / Frontline</t>
        </is>
      </c>
      <c r="B2" s="11" t="inlineStr">
        <is>
          <t>Process the 6,229-account Increase (Large) tier first -- the highest-confidence, Low Risk + Trending Better customers -- then Increase (Small) (32,853), leaving the 13,599-account Freeze / Review tier for a credit officer's manual judgment call before any automated line change, and the 18,306-account Decrease (Small) tier for standard automated processing.</t>
        </is>
      </c>
    </row>
    <row r="3">
      <c r="A3" t="inlineStr">
        <is>
          <t>Credit Line Ops Team Lead</t>
        </is>
      </c>
      <c r="B3" s="11" t="inlineStr">
        <is>
          <t>Track the 2,800 real avoided-loss accounts (Decrease (Small) on customers who really did default) against the 15,506 real foregone-revenue accounts (Decrease (Small) on customers who did not) as paired weekly KPIs -- this technique's own version of the true-positive/false-positive-style pair every Phase 3/4 technique tracks, here specific to the exposure-reduction axis.</t>
        </is>
      </c>
    </row>
    <row r="4">
      <c r="A4" t="inlineStr">
        <is>
          <t>Risk / Credit Analyst</t>
        </is>
      </c>
      <c r="B4" s="11" t="inlineStr">
        <is>
          <t>Monitor Notebook 56's bootstrap 95% CIs every cycle -- risk-level ratio CI [357.19, 632.67] must stay above parity (&gt;= 1.0), and the trend-coherence gap CI must stay positive in every risk-level tier -- both hard gates this problem's entire design depends on (see Notebook 54 Section 7). Watch the real per-tier default rates ({'High Risk': 0.6977559607293128, 'Low Risk': 0.0015135207856854568, 'Medium Risk': 0.07099126827473153}) for drift.</t>
        </is>
      </c>
    </row>
    <row r="5">
      <c r="A5" t="inlineStr">
        <is>
          <t>Model Risk / Compliance (SR 11-7)</t>
        </is>
      </c>
      <c r="B5" s="11" t="inlineStr">
        <is>
          <t>File Notebook 56's independent-reproduction result (diff &lt; 1e-4: True), persisted-worklist cross-check (True), and bootstrap CI results with the technique's annual governance packet; note the 5-tier action policy is explicitly a business-rule layer over two already-validated PD scores, NOT itself a fitted treatment-response model (no real limit-change/outcome data exists to fit one -- see Notebook 54 Section 6). Currently NOT RECOMMENDED for production.</t>
        </is>
      </c>
    </row>
    <row r="6">
      <c r="A6" t="inlineStr">
        <is>
          <t>Treasury / ALM &amp; Finance</t>
        </is>
      </c>
      <c r="B6" s="11" t="inlineStr">
        <is>
          <t>Reconcile the 15% ASSUMPTION revenue-yield figure against this institution's real risk-adjusted portfolio net interest margin before relying on the revenue-opportunity estimate; coordinate limit-increase exposure changes with Problem 3's ECL work and Problem 4's tier-differentiated LGD so the same incremental EAD is not reserved for twice, and with Problem 1's static PD and Problem 6's dynamic PD outputs this technique already composes rather than re-deriving.</t>
        </is>
      </c>
    </row>
    <row r="7">
      <c r="A7" t="inlineStr">
        <is>
          <t>CFO / Executive Leadership</t>
        </is>
      </c>
      <c r="B7" s="11" t="inlineStr">
        <is>
          <t>Approve the $52,000 investment given an estimated 0.0 months payback and 94,701% Year-1 ROI, combining real EAD/LGD-grounded exposure value (amplified-loss risk on Increase actions, avoided loss on Decrease actions) with an ASSUMPTION-based revenue-opportunity stream; deployment status is currently NOT RECOMMENDED FOR PRODUCTION on this run -- financial figures below are reported honestly regardless, per the platform's zero-fabrication standard, and should inform a go/no-go decision alongside the KPI result, not in place of it.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2026-08-26T09:53:49Z</dcterms:created>
  <dcterms:modified xmlns:dcterms="http://purl.org/dc/terms/" xmlns:xsi="http://www.w3.org/2001/XMLSchema-instance" xsi:type="dcterms:W3CDTF">2026-08-26T09:53:49Z</dcterms:modified>
</cp:coreProperties>
</file>