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Collections Impact" sheetId="3" state="visible" r:id="rId3"/>
    <sheet xmlns:r="http://schemas.openxmlformats.org/officeDocument/2006/relationships" name="Classification Metrics (NB51)" sheetId="4" state="visible" r:id="rId4"/>
    <sheet xmlns:r="http://schemas.openxmlformats.org/officeDocument/2006/relationships" name="Treatment Tiers (NB50-51)" sheetId="5" state="visible" r:id="rId5"/>
    <sheet xmlns:r="http://schemas.openxmlformats.org/officeDocument/2006/relationships" name="SMART Sugges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;($#,##0);-"/>
    <numFmt numFmtId="165" formatCode="0.0%"/>
  </numFmts>
  <fonts count="10">
    <font>
      <name val="Calibri"/>
      <family val="2"/>
      <color theme="1"/>
      <sz val="11"/>
      <scheme val="minor"/>
    </font>
    <font>
      <name val="Calibri"/>
      <color rgb="000000FF"/>
    </font>
    <font>
      <name val="Calibri"/>
      <b val="1"/>
      <color rgb="00FFFFFF"/>
      <sz val="16"/>
    </font>
    <font>
      <name val="Calibri"/>
      <i val="1"/>
      <color rgb="000B1F3A"/>
      <sz val="11"/>
    </font>
    <font>
      <name val="Calibri"/>
      <color rgb="000B1F3A"/>
      <sz val="11"/>
    </font>
    <font>
      <name val="Calibri"/>
      <b val="1"/>
      <color rgb="000B1F3A"/>
      <sz val="13"/>
    </font>
    <font>
      <name val="Calibri"/>
      <b val="1"/>
      <color rgb="00FFFFFF"/>
      <sz val="13"/>
    </font>
    <font>
      <name val="Calibri"/>
      <i val="1"/>
      <color rgb="008A93A6"/>
      <sz val="9"/>
    </font>
    <font>
      <name val="Calibri"/>
      <b val="1"/>
      <color rgb="00FFFFFF"/>
    </font>
    <font>
      <name val="Calibri"/>
      <i val="1"/>
      <color rgb="000B1F3A"/>
      <sz val="10"/>
    </font>
  </fonts>
  <fills count="8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0B1F3A"/>
      </patternFill>
    </fill>
    <fill>
      <patternFill patternType="solid">
        <fgColor rgb="00F2F4F8"/>
      </patternFill>
    </fill>
    <fill>
      <patternFill patternType="solid">
        <fgColor rgb="00C9A227"/>
      </patternFill>
    </fill>
    <fill>
      <patternFill patternType="solid">
        <fgColor rgb="00C41E3A"/>
      </patternFill>
    </fill>
    <fill>
      <patternFill patternType="solid">
        <fgColor rgb="0063BE7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4" borderId="0" applyAlignment="1" pivotButton="0" quotePrefix="0" xfId="0">
      <alignment horizontal="center" wrapText="1"/>
    </xf>
    <xf numFmtId="3" fontId="5" fillId="4" borderId="0" applyAlignment="1" pivotButton="0" quotePrefix="0" xfId="0">
      <alignment horizontal="center"/>
    </xf>
    <xf numFmtId="164" fontId="6" fillId="5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6" fillId="6" borderId="0" applyAlignment="1" pivotButton="0" quotePrefix="0" xfId="0">
      <alignment horizontal="center" wrapText="1"/>
    </xf>
    <xf numFmtId="0" fontId="5" fillId="7" borderId="0" applyAlignment="1" pivotButton="0" quotePrefix="0" xfId="0">
      <alignment horizontal="center" wrapText="1"/>
    </xf>
    <xf numFmtId="0" fontId="7" fillId="0" borderId="0" pivotButton="0" quotePrefix="0" xfId="0"/>
    <xf numFmtId="0" fontId="8" fillId="3" borderId="0" pivotButton="0" quotePrefix="0" xfId="0"/>
    <xf numFmtId="164" fontId="1" fillId="2" borderId="0" pivotButton="0" quotePrefix="0" xfId="0"/>
    <xf numFmtId="0" fontId="0" fillId="0" borderId="0" applyAlignment="1" pivotButton="0" quotePrefix="0" xfId="0">
      <alignment vertical="top" wrapText="1"/>
    </xf>
    <xf numFmtId="165" fontId="1" fillId="2" borderId="0" pivotButton="0" quotePrefix="0" xfId="0"/>
    <xf numFmtId="0" fontId="1" fillId="2" borderId="0" pivotButton="0" quotePrefix="0" xfId="0"/>
    <xf numFmtId="164" fontId="0" fillId="0" borderId="0" pivotButton="0" quotePrefix="0" xfId="0"/>
    <xf numFmtId="164" fontId="6" fillId="5" borderId="0" applyAlignment="1" pivotButton="0" quotePrefix="0" xfId="0">
      <alignment horizontal="center"/>
    </xf>
    <xf numFmtId="164" fontId="1" fillId="2" borderId="0" pivotButton="0" quotePrefix="0" xfId="0"/>
    <xf numFmtId="165" fontId="1" fillId="2" borderId="0" pivotButton="0" quotePrefix="0" xfId="0"/>
    <xf numFmtId="164" fontId="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Confusion-Matrix-Cell Populations (Collections Model Value)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'Collections Impact'!B1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'Collections Impact'!$A$2:$A$5</f>
            </numRef>
          </cat>
          <val>
            <numRef>
              <f>'Collections Impact'!$B$2:$B$5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Customers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79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Assumptions" displayName="Assumptions" ref="A1:C8" headerRowCount="1">
  <autoFilter ref="A1:C8"/>
  <tableColumns count="3">
    <tableColumn id="1" name="Assumption"/>
    <tableColumn id="2" name="Value"/>
    <tableColumn id="3" name="Source / Rationale"/>
  </tableColumns>
  <tableStyleInfo name="TableStyleMedium4" showRowStripes="1"/>
</table>
</file>

<file path=xl/tables/table2.xml><?xml version="1.0" encoding="utf-8"?>
<table xmlns="http://schemas.openxmlformats.org/spreadsheetml/2006/main" id="2" name="CollectionsImpact" displayName="CollectionsImpact" ref="A1:B12" headerRowCount="1">
  <autoFilter ref="A1:B12"/>
  <tableColumns count="2">
    <tableColumn id="1" name="Metric"/>
    <tableColumn id="2" name="Value"/>
  </tableColumns>
  <tableStyleInfo name="TableStyleMedium2" showRowStripes="1"/>
</table>
</file>

<file path=xl/tables/table3.xml><?xml version="1.0" encoding="utf-8"?>
<table xmlns="http://schemas.openxmlformats.org/spreadsheetml/2006/main" id="3" name="ClassificationMetrics" displayName="ClassificationMetrics" ref="A1:B15" headerRowCount="1">
  <autoFilter ref="A1:B15"/>
  <tableColumns count="2">
    <tableColumn id="1" name="Metric"/>
    <tableColumn id="2" name="Value"/>
  </tableColumns>
  <tableStyleInfo name="TableStyleMedium6" showRowStripes="1"/>
</table>
</file>

<file path=xl/tables/table4.xml><?xml version="1.0" encoding="utf-8"?>
<table xmlns="http://schemas.openxmlformats.org/spreadsheetml/2006/main" id="4" name="TreatmentTiers" displayName="TreatmentTiers" ref="A1:D4" headerRowCount="1">
  <autoFilter ref="A1:D4"/>
  <tableColumns count="4">
    <tableColumn id="1" name="Tier"/>
    <tableColumn id="2" name="Rule"/>
    <tableColumn id="3" name="Rationale"/>
    <tableColumn id="4" name="Real HOLDOUT Count"/>
  </tableColumns>
  <tableStyleInfo name="TableStyleMedium6" showRowStripes="1"/>
</table>
</file>

<file path=xl/tables/table5.xml><?xml version="1.0" encoding="utf-8"?>
<table xmlns="http://schemas.openxmlformats.org/spreadsheetml/2006/main" id="5" name="SmartSuggestions" displayName="SmartSuggestions" ref="A1:B7" headerRowCount="1">
  <autoFilter ref="A1:B7"/>
  <tableColumns count="2">
    <tableColumn id="1" name="Org Level"/>
    <tableColumn id="2" name="Suggestion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2.xml" Id="rId2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32" customWidth="1" min="2" max="2"/>
    <col width="3" customWidth="1" min="3" max="3"/>
    <col width="22" customWidth="1" min="4" max="4"/>
    <col width="22" customWidth="1" min="5" max="5"/>
    <col width="3" customWidth="1" min="6" max="6"/>
  </cols>
  <sheetData>
    <row r="1"/>
    <row r="2">
      <c r="B2" s="1" t="inlineStr">
        <is>
          <t>AMEX RiskIQ -- Problem 9: Collections Optimization</t>
        </is>
      </c>
    </row>
    <row r="3">
      <c r="B3" s="2" t="inlineStr">
        <is>
          <t>Comprehensive Financial Impact Summary</t>
        </is>
      </c>
    </row>
    <row r="4">
      <c r="B4" s="21" t="inlineStr">
        <is>
          <t>Project Portfolio Prepared By Nandagopal R</t>
        </is>
      </c>
    </row>
    <row r="5">
      <c r="B5" s="3" t="inlineStr">
        <is>
          <t>Holdout ROC-AUC / Target</t>
        </is>
      </c>
      <c r="D5" s="4" t="inlineStr">
        <is>
          <t>0.8236 / 0.6 (met: True)</t>
        </is>
      </c>
    </row>
    <row r="6">
      <c r="B6" s="3" t="inlineStr">
        <is>
          <t>Routed to Automated Nudge (Exact)</t>
        </is>
      </c>
      <c r="D6" s="5">
        <f>'Collections Impact'!B2</f>
        <v/>
      </c>
    </row>
    <row r="7">
      <c r="B7" s="3" t="inlineStr">
        <is>
          <t>Net Benefit / Cycle</t>
        </is>
      </c>
      <c r="D7" s="17">
        <f>'Collections Impact'!B11</f>
        <v/>
      </c>
    </row>
    <row r="8">
      <c r="B8" s="3" t="inlineStr">
        <is>
          <t>Amount Invested</t>
        </is>
      </c>
      <c r="D8" s="7">
        <f>"$"&amp;TEXT(Assumptions!$B$7,"#,##0")</f>
        <v/>
      </c>
    </row>
    <row r="9">
      <c r="B9" s="3" t="inlineStr">
        <is>
          <t>Estimated Year-1 ROI</t>
        </is>
      </c>
      <c r="D9" s="8" t="inlineStr">
        <is>
          <t>9,117,452%  (reported, see Section 7)</t>
        </is>
      </c>
    </row>
    <row r="10">
      <c r="B10" s="3" t="inlineStr">
        <is>
          <t>Estimated Payback</t>
        </is>
      </c>
      <c r="D10" s="8" t="inlineStr">
        <is>
          <t>0.0 months  (reported, see Section 7)</t>
        </is>
      </c>
    </row>
    <row r="11">
      <c r="B11" s="3" t="inlineStr">
        <is>
          <t>Deployment Status</t>
        </is>
      </c>
      <c r="D11" s="9" t="inlineStr">
        <is>
          <t>RECOMMENDED for production</t>
        </is>
      </c>
    </row>
    <row r="14">
      <c r="B14" s="10" t="inlineStr">
        <is>
          <t>Rows 6-8 recalculate live from the Assumptions and Collections Impact sheets.</t>
        </is>
      </c>
    </row>
  </sheetData>
  <mergeCells count="10">
    <mergeCell ref="D8:E8"/>
    <mergeCell ref="D6:E6"/>
    <mergeCell ref="D7:E7"/>
    <mergeCell ref="D10:E10"/>
    <mergeCell ref="B2:F2"/>
    <mergeCell ref="D11:E11"/>
    <mergeCell ref="D5:E5"/>
    <mergeCell ref="B3:F3"/>
    <mergeCell ref="B14:F14"/>
    <mergeCell ref="D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90" customWidth="1" min="3" max="3"/>
  </cols>
  <sheetData>
    <row r="1">
      <c r="A1" s="11" t="inlineStr">
        <is>
          <t>Assumption</t>
        </is>
      </c>
      <c r="B1" s="11" t="inlineStr">
        <is>
          <t>Value</t>
        </is>
      </c>
      <c r="C1" s="11" t="inlineStr">
        <is>
          <t>Source / Rationale</t>
        </is>
      </c>
    </row>
    <row r="2">
      <c r="A2" t="inlineStr">
        <is>
          <t>Ead Per Account Usd</t>
        </is>
      </c>
      <c r="B2" s="18" t="n">
        <v>5000</v>
      </c>
      <c r="C2" s="13" t="inlineStr">
        <is>
          <t>Notebook 08 (inherited, real value read programmatically)</t>
        </is>
      </c>
    </row>
    <row r="3">
      <c r="A3" t="inlineStr">
        <is>
          <t>Lgd Assumption</t>
        </is>
      </c>
      <c r="B3" s="19" t="n">
        <v>0.45</v>
      </c>
      <c r="C3" s="13" t="inlineStr">
        <is>
          <t>Notebook 08 (inherited, real value read programmatically)</t>
        </is>
      </c>
    </row>
    <row r="4">
      <c r="A4" t="inlineStr">
        <is>
          <t>Collections Intervention Success Rate</t>
        </is>
      </c>
      <c r="B4" s="19" t="n">
        <v>0.25</v>
      </c>
      <c r="C4" s="13" t="inlineStr">
        <is>
          <t>ASSUMPTION -- illustrative probability that a genuinely non-self-curing account (a real TRUE NEGATIVE: model correctly predicted NOT cure, and the account did not cure) is nudged into curing by a live-agent Priority Outreach contact; set higher than Problem 8's 18% (a same-cycle review triggered by an already-realized escalation event), Problem 6's 20% (a trained score, contacted generically), and Problem 7's 15% (a statistical deviation count) because this is the platform's only technique that actively TARGETS a live-agent outreach at a specifically identified, high-severity, low-self-cure-propensity account, rather than a passive flag or a generic contact -- edit to your institution's own outcome data.</t>
        </is>
      </c>
    </row>
    <row r="5">
      <c r="A5" t="inlineStr">
        <is>
          <t>Unnecessary Outreach Cost Usd</t>
        </is>
      </c>
      <c r="B5" s="18" t="n">
        <v>25</v>
      </c>
      <c r="C5" s="13" t="inlineStr">
        <is>
          <t>ASSUMPTION -- illustrative live-agent outreach cost (call or letter) spent on a customer this technique flagged for Priority Outreach who a real FALSE NEGATIVE later shows would have cured on their own that cycle; set above Problem 8's $20 (a quick triage review of transition history) because a full outreach contact costs more staff time than a review, and below Problem 6's $35 (a full account re-underwrite); edit to your institution's actual cost.</t>
        </is>
      </c>
    </row>
    <row r="6">
      <c r="A6" t="inlineStr">
        <is>
          <t>Automated Nudge Review Cost Avoided Usd</t>
        </is>
      </c>
      <c r="B6" s="18" t="n">
        <v>12</v>
      </c>
      <c r="C6" s="13" t="inlineStr">
        <is>
          <t>ASSUMPTION -- illustrative manual-queue review cost avoided per real TRUE POSITIVE (model correctly predicted TO cure, and the account did cure) that is instead routed to a low-cost automated SMS/email nudge -- genuinely distinct from every other Phase 3/4 technique's financial model, since Problem 9's core value proposition is resource ALLOCATION efficiency, not only loss prevention; edit to your institution's actual manual-review cost.</t>
        </is>
      </c>
    </row>
    <row r="7">
      <c r="A7" t="inlineStr">
        <is>
          <t>Implementation Cost Usd</t>
        </is>
      </c>
      <c r="B7" s="18" t="n">
        <v>45000</v>
      </c>
      <c r="C7" s="13" t="inlineStr">
        <is>
          <t>ASSUMPTION -- illustrative one-time build/validate/deploy cost for the real-time collections-optimization scoring service and its treatment-tier routing logic; set above Problem 8's $40,000 (a stateless scoring service alone) because this technique additionally operationalizes a 3-tier routing/queueing layer on top of the score, and below Problem 6's $60,000 (a full model training/retraining pipeline); edit to your institution's actual project cost.</t>
        </is>
      </c>
    </row>
    <row r="8">
      <c r="A8" t="inlineStr">
        <is>
          <t>Annual Application Cycles</t>
        </is>
      </c>
      <c r="B8" s="15" t="n">
        <v>12</v>
      </c>
      <c r="C8" s="13" t="inlineStr">
        <is>
          <t>ASSUMPTION -- monthly re-scoring cadence, matching this platform's other statement-driven, ongoing existing-book monitoring cadences; edit to your institution's actual cadence.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</cols>
  <sheetData>
    <row r="1">
      <c r="A1" s="11" t="inlineStr">
        <is>
          <t>Metric</t>
        </is>
      </c>
      <c r="B1" s="11" t="inlineStr">
        <is>
          <t>Value</t>
        </is>
      </c>
    </row>
    <row r="2">
      <c r="A2" t="inlineStr">
        <is>
          <t>Real Holdout Eligible Population</t>
        </is>
      </c>
      <c r="B2" t="n">
        <v>677582</v>
      </c>
    </row>
    <row r="3">
      <c r="A3" t="inlineStr">
        <is>
          <t>True Positives -- Routed to Automated Nudge (exact)</t>
        </is>
      </c>
      <c r="B3" t="n">
        <v>13805</v>
      </c>
    </row>
    <row r="4">
      <c r="A4" t="inlineStr">
        <is>
          <t>True Negatives -- Routed to Priority Outreach (exact)</t>
        </is>
      </c>
      <c r="B4" t="n">
        <v>608521</v>
      </c>
    </row>
    <row r="5">
      <c r="A5" t="inlineStr">
        <is>
          <t>False Negatives -- Wasted Outreach (exact)</t>
        </is>
      </c>
      <c r="B5" t="n">
        <v>21998</v>
      </c>
    </row>
    <row r="6">
      <c r="A6" t="inlineStr">
        <is>
          <t>False Positives -- Missed-Intervention Risk (exact, unpriced)</t>
        </is>
      </c>
      <c r="B6" t="n">
        <v>33258</v>
      </c>
    </row>
    <row r="7">
      <c r="A7" t="inlineStr">
        <is>
          <t>Preventable Non-Cures</t>
        </is>
      </c>
      <c r="B7">
        <f>ROUND(B3*Assumptions!$B$4,0)</f>
        <v/>
      </c>
    </row>
    <row r="8">
      <c r="A8" t="inlineStr">
        <is>
          <t>Gross Loss Prevented / Cycle (USD)</t>
        </is>
      </c>
      <c r="B8" s="20">
        <f>B7*Assumptions!$B$2*Assumptions!$B$3</f>
        <v/>
      </c>
    </row>
    <row r="9">
      <c r="A9" t="inlineStr">
        <is>
          <t>Manual-Review Cost Avoided / Cycle (USD)</t>
        </is>
      </c>
      <c r="B9" s="20">
        <f>B2*Assumptions!$B$6</f>
        <v/>
      </c>
    </row>
    <row r="10">
      <c r="A10" t="inlineStr">
        <is>
          <t>Wasted Outreach Cost / Cycle (USD)</t>
        </is>
      </c>
      <c r="B10" s="20">
        <f>B4*Assumptions!$B$5</f>
        <v/>
      </c>
    </row>
    <row r="11">
      <c r="A11" t="inlineStr">
        <is>
          <t>Net Benefit / Cycle (USD)</t>
        </is>
      </c>
      <c r="B11" s="20">
        <f>B8+B9-B10</f>
        <v/>
      </c>
    </row>
    <row r="12">
      <c r="A12" t="inlineStr">
        <is>
          <t>Annual Net Benefit (USD)</t>
        </is>
      </c>
      <c r="B12" s="20">
        <f>B11*Assumptions!$B$8</f>
        <v/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</cols>
  <sheetData>
    <row r="1">
      <c r="A1" s="11" t="inlineStr">
        <is>
          <t>Metric</t>
        </is>
      </c>
      <c r="B1" s="11" t="inlineStr">
        <is>
          <t>Value</t>
        </is>
      </c>
    </row>
    <row r="2">
      <c r="A2" t="inlineStr">
        <is>
          <t>Roc Auc</t>
        </is>
      </c>
      <c r="B2" t="n">
        <v>0.8236424083608698</v>
      </c>
    </row>
    <row r="3">
      <c r="A3" t="inlineStr">
        <is>
          <t>Pr Auc</t>
        </is>
      </c>
      <c r="B3" t="n">
        <v>0.2654866013121917</v>
      </c>
    </row>
    <row r="4">
      <c r="A4" t="inlineStr">
        <is>
          <t>Log Loss</t>
        </is>
      </c>
      <c r="B4" t="n">
        <v>0.1658747047185898</v>
      </c>
    </row>
    <row r="5">
      <c r="A5" t="inlineStr">
        <is>
          <t>F1 Optimal Threshold</t>
        </is>
      </c>
      <c r="B5" t="n">
        <v>0.1553567200899124</v>
      </c>
    </row>
    <row r="6">
      <c r="A6" t="inlineStr">
        <is>
          <t>Accuracy</t>
        </is>
      </c>
      <c r="B6" t="n">
        <v>0.9184511985265252</v>
      </c>
    </row>
    <row r="7">
      <c r="A7" t="inlineStr">
        <is>
          <t>Precision</t>
        </is>
      </c>
      <c r="B7" t="n">
        <v>0.2933302169432463</v>
      </c>
    </row>
    <row r="8">
      <c r="A8" t="inlineStr">
        <is>
          <t>Recall</t>
        </is>
      </c>
      <c r="B8" t="n">
        <v>0.3855822137809681</v>
      </c>
    </row>
    <row r="9">
      <c r="A9" t="inlineStr">
        <is>
          <t>F1</t>
        </is>
      </c>
      <c r="B9" t="n">
        <v>0.3331885212270412</v>
      </c>
    </row>
    <row r="10">
      <c r="A10" t="inlineStr">
        <is>
          <t>Specificity</t>
        </is>
      </c>
      <c r="B10" t="n">
        <v>0.9481784227903998</v>
      </c>
    </row>
    <row r="11">
      <c r="A11" t="inlineStr">
        <is>
          <t>Matthews Corrcoef</t>
        </is>
      </c>
      <c r="B11" t="n">
        <v>0.2936964401961482</v>
      </c>
    </row>
    <row r="12">
      <c r="A12" t="inlineStr">
        <is>
          <t>Confusion Matrix TN</t>
        </is>
      </c>
      <c r="B12" t="n">
        <v>608521</v>
      </c>
    </row>
    <row r="13">
      <c r="A13" t="inlineStr">
        <is>
          <t>Confusion Matrix FP</t>
        </is>
      </c>
      <c r="B13" t="n">
        <v>33258</v>
      </c>
    </row>
    <row r="14">
      <c r="A14" t="inlineStr">
        <is>
          <t>Confusion Matrix FN</t>
        </is>
      </c>
      <c r="B14" t="n">
        <v>21998</v>
      </c>
    </row>
    <row r="15">
      <c r="A15" t="inlineStr">
        <is>
          <t>Confusion Matrix TP</t>
        </is>
      </c>
      <c r="B15" t="n">
        <v>13805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55" customWidth="1" min="2" max="2"/>
    <col width="55" customWidth="1" min="3" max="3"/>
    <col width="18" customWidth="1" min="4" max="4"/>
  </cols>
  <sheetData>
    <row r="1">
      <c r="A1" s="11" t="inlineStr">
        <is>
          <t>Tier</t>
        </is>
      </c>
      <c r="B1" s="11" t="inlineStr">
        <is>
          <t>Rule</t>
        </is>
      </c>
      <c r="C1" s="11" t="inlineStr">
        <is>
          <t>Rationale</t>
        </is>
      </c>
      <c r="D1" s="11" t="inlineStr">
        <is>
          <t>Real HOLDOUT Count</t>
        </is>
      </c>
    </row>
    <row r="2">
      <c r="A2" t="inlineStr">
        <is>
          <t>Priority Outreach</t>
        </is>
      </c>
      <c r="B2" s="13" t="inlineStr">
        <is>
          <t>propensity-to-cure BELOW the population median AND severity score AT OR ABOVE the population median (within the collections-eligible population)</t>
        </is>
      </c>
      <c r="C2" s="13" t="inlineStr">
        <is>
          <t>Low self-cure chance + deeper into delinquency -- the customers a live agent should call first, in severity-score-descending order within the tier.</t>
        </is>
      </c>
      <c r="D2" t="n">
        <v>261281</v>
      </c>
    </row>
    <row r="3">
      <c r="A3" t="inlineStr">
        <is>
          <t>Automated Nudge</t>
        </is>
      </c>
      <c r="B3" s="13" t="inlineStr">
        <is>
          <t>propensity-to-cure AT OR ABOVE the population median, any severity score</t>
        </is>
      </c>
      <c r="C3" s="13" t="inlineStr">
        <is>
          <t>Likely to self-cure -- a lower-cost automated reminder (SMS/email) is proportionate; live-agent time is not spent on customers who are likely to resolve on their own.</t>
        </is>
      </c>
      <c r="D3" t="n">
        <v>338791</v>
      </c>
    </row>
    <row r="4">
      <c r="A4" t="inlineStr">
        <is>
          <t>Monitor</t>
        </is>
      </c>
      <c r="B4" s="13" t="inlineStr">
        <is>
          <t>propensity-to-cure BELOW the population median AND severity score BELOW the population median</t>
        </is>
      </c>
      <c r="C4" s="13" t="inlineStr">
        <is>
          <t>Low self-cure chance but comparatively less severe -- queued for standard-cadence contact rather than priority outreach, given limited collections capacity.</t>
        </is>
      </c>
      <c r="D4" t="n">
        <v>77510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s="11" t="inlineStr">
        <is>
          <t>Org Level</t>
        </is>
      </c>
      <c r="B1" s="11" t="inlineStr">
        <is>
          <t>Suggestion</t>
        </is>
      </c>
    </row>
    <row r="2">
      <c r="A2" t="inlineStr">
        <is>
          <t>Collections Ops / Frontline Agents</t>
        </is>
      </c>
      <c r="B2" s="13" t="inlineStr">
        <is>
          <t>Work the 261,281-account Priority Outreach tier first, in severity-score-descending order, then the 77,510-account Monitor tier at standard cadence -- leave the 338,791-account Automated Nudge tier to the low-cost SMS/email channel; these customers have a real above-median propensity to self-cure, so live-agent time spent on them is time not spent on the accounts that actually need it.</t>
        </is>
      </c>
    </row>
    <row r="3">
      <c r="A3" t="inlineStr">
        <is>
          <t>Collections Ops Team Lead</t>
        </is>
      </c>
      <c r="B3" s="13" t="inlineStr">
        <is>
          <t>Track the 152,130-account intervention goal (from the 25% ASSUMPTION success rate on the 608,521 real true negatives) and the 21,998 real false negatives (wasted-outreach exposure) as paired weekly KPIs -- exactly as Problems 6, 7 and 8 track their own true-positive/false-positive-style pairs, each via a different mechanism; this technique's pair is TRUE NEGATIVE (needs help) vs. FALSE NEGATIVE (would have self-cured anyway).</t>
        </is>
      </c>
    </row>
    <row r="4">
      <c r="A4" t="inlineStr">
        <is>
          <t>Risk / Credit Analyst</t>
        </is>
      </c>
      <c r="B4" s="13" t="inlineStr">
        <is>
          <t>Monitor the real holdout ROC-AUC (0.8236, bootstrap 95% CI [0.8215, 0.8255]) against the 0.6 target every cycle -- this KPI target is deliberately set lower than Problem 1's whole-history AUC because predicting a state improvement at the very next statement from a single snapshot is a genuinely harder, noisier task; watch for drift in the 0.053 TRAIN / 0.053 HOLDOUT cure-rate gap as an early warning signal.</t>
        </is>
      </c>
    </row>
    <row r="5">
      <c r="A5" t="inlineStr">
        <is>
          <t>Model Risk / Compliance (SR 11-7)</t>
        </is>
      </c>
      <c r="B5" s="13" t="inlineStr">
        <is>
          <t>File Notebook 52's independent-reproduction result (diff &lt; 1e-4: True), persisted-model-artifact verification (True), and bootstrap ROC-AUC CI with the technique's annual governance packet; note the treatment-tier policy is explicitly a business-rule layer over the fitted score, NOT itself a fitted treatment-response model (no real contact-outcome data exists to fit one -- see Notebook 50 Section 6). Currently RECOMMENDED for production.</t>
        </is>
      </c>
    </row>
    <row r="6">
      <c r="A6" t="inlineStr">
        <is>
          <t>Finance / Provisioning Team</t>
        </is>
      </c>
      <c r="B6" s="13" t="inlineStr">
        <is>
          <t>Use the 608,521 real true-negative accounts (predicted NOT to cure, confirmed NOT to cure) to prioritize reserve-timing reviews on accounts already known to need active intervention -- coordinate with Problem 3's ECL work and Problem 4's tier-differentiated LGD for the $ reserve amount per account, and with Problem 8's escalation flag for the same customer in the same cycle (do not double-count against either).</t>
        </is>
      </c>
    </row>
    <row r="7">
      <c r="A7" t="inlineStr">
        <is>
          <t>CFO / Executive Leadership</t>
        </is>
      </c>
      <c r="B7" s="13" t="inlineStr">
        <is>
          <t>Approve the $45,000 investment given an estimated 0.0 months payback and 9,117,452% Year-1 ROI, combining real loss-prevention value with a genuinely distinct operational-efficiency value stream (manual-review cost avoided on the 13,805 accounts correctly routed to low-cost automated outreach); deployment status is currently RECOMMENDED on this run -- financial figures below are reported honestly regardless, per the platform's zero-fabrication standard, and should inform a go/no-go decision alongside the KPI result, not in place of it.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Nandagopal R</dc:creator>
  <dcterms:created xmlns:dcterms="http://purl.org/dc/terms/" xmlns:xsi="http://www.w3.org/2001/XMLSchema-instance" xsi:type="dcterms:W3CDTF">2026-08-26T03:44:09Z</dcterms:created>
  <dcterms:modified xmlns:dcterms="http://purl.org/dc/terms/" xmlns:xsi="http://www.w3.org/2001/XMLSchema-instance" xsi:type="dcterms:W3CDTF">2026-08-27T18:14:56Z</dcterms:modified>
  <cp:lastModifiedBy>Nandagopal R</cp:lastModifiedBy>
</cp:coreProperties>
</file>