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tandard Comparison" sheetId="3" state="visible" r:id="rId3"/>
    <sheet xmlns:r="http://schemas.openxmlformats.org/officeDocument/2006/relationships" name="Macro Sensitivity" sheetId="4" state="visible" r:id="rId4"/>
    <sheet xmlns:r="http://schemas.openxmlformats.org/officeDocument/2006/relationships" name="SMART Sugg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color rgb="000000FF"/>
    </font>
    <font>
      <b val="1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4" borderId="0" applyAlignment="1" pivotButton="0" quotePrefix="0" xfId="0">
      <alignment horizontal="center"/>
    </xf>
    <xf numFmtId="164" fontId="7" fillId="5" borderId="0" applyAlignment="1" pivotButton="0" quotePrefix="0" xfId="0">
      <alignment horizontal="center"/>
    </xf>
    <xf numFmtId="164" fontId="7" fillId="6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center" wrapText="1"/>
    </xf>
    <xf numFmtId="0" fontId="8" fillId="0" borderId="0" pivotButton="0" quotePrefix="0" xfId="0"/>
    <xf numFmtId="0" fontId="9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4" fontId="6" fillId="4" borderId="0" applyAlignment="1" pivotButton="0" quotePrefix="0" xfId="0">
      <alignment horizontal="center"/>
    </xf>
    <xf numFmtId="164" fontId="7" fillId="5" borderId="0" applyAlignment="1" pivotButton="0" quotePrefix="0" xfId="0">
      <alignment horizontal="center"/>
    </xf>
    <xf numFmtId="164" fontId="7" fillId="6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0" fontId="1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ECL by Methodology (filter the table to update this chart)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'Standard 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'Standard Comparison'!$A$2:$A$4</f>
            </numRef>
          </cat>
          <val>
            <numRef>
              <f>'Standard Comparison'!$B$2:$B$4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ECL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IFRS9 ECL by Macro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'Macro Sensitivity'!D1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'Macro Sensitivity'!$A$2:$A$4</f>
            </numRef>
          </cat>
          <val>
            <numRef>
              <f>'Macro Sensitivity'!$D$2:$D$4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IFRS9 ECL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StandardComparison" displayName="StandardComparison" ref="A1:C4" headerRowCount="1">
  <autoFilter ref="A1:C4"/>
  <tableColumns count="3">
    <tableColumn id="1" name="Methodology"/>
    <tableColumn id="2" name="Total ECL (USD)"/>
    <tableColumn id="3" name="Delta vs Notebook 08 (USD)"/>
  </tableColumns>
  <tableStyleInfo name="TableStyleMedium2" showRowStripes="1"/>
</table>
</file>

<file path=xl/tables/table3.xml><?xml version="1.0" encoding="utf-8"?>
<table xmlns="http://schemas.openxmlformats.org/spreadsheetml/2006/main" id="3" name="MacroSensitivity" displayName="MacroSensitivity" ref="A1:D4" headerRowCount="1">
  <autoFilter ref="A1:D4"/>
  <tableColumns count="4">
    <tableColumn id="1" name="Scenario"/>
    <tableColumn id="2" name="Probability"/>
    <tableColumn id="3" name="PD Multiplier"/>
    <tableColumn id="4" name="Total IFRS9 ECL (USD)"/>
  </tableColumns>
  <tableStyleInfo name="TableStyleMedium6" showRowStripes="1"/>
</table>
</file>

<file path=xl/tables/table4.xml><?xml version="1.0" encoding="utf-8"?>
<table xmlns="http://schemas.openxmlformats.org/spreadsheetml/2006/main" id="4" name="SmartSuggestions" displayName="SmartSuggestions" ref="A1:B6" headerRowCount="1">
  <autoFilter ref="A1:B6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3: Expected Credit Loss (IFRS9/CECL)</t>
        </is>
      </c>
    </row>
    <row r="3">
      <c r="B3" s="2" t="inlineStr">
        <is>
          <t>Financial Impact Summary</t>
        </is>
      </c>
    </row>
    <row r="4">
      <c r="B4" s="26" t="inlineStr">
        <is>
          <t>Project Portfolio Prepared By Nandagopal R</t>
        </is>
      </c>
    </row>
    <row r="5">
      <c r="B5" s="3" t="inlineStr">
        <is>
          <t>Total ECL -- Flat LGD (Notebook 08)</t>
        </is>
      </c>
      <c r="D5" s="18">
        <f>'Standard Comparison'!B2</f>
        <v/>
      </c>
    </row>
    <row r="6">
      <c r="B6" s="3" t="inlineStr">
        <is>
          <t>Total ECL -- IFRS9 Staged</t>
        </is>
      </c>
      <c r="D6" s="18">
        <f>'Standard Comparison'!B3</f>
        <v/>
      </c>
    </row>
    <row r="7">
      <c r="B7" s="3" t="inlineStr">
        <is>
          <t>Total ECL -- CECL Lifetime</t>
        </is>
      </c>
      <c r="D7" s="18">
        <f>'Standard Comparison'!B4</f>
        <v/>
      </c>
    </row>
    <row r="8">
      <c r="B8" s="3" t="inlineStr">
        <is>
          <t>Reserve Change (IFRS9 - Flat)</t>
        </is>
      </c>
      <c r="D8" s="19">
        <f>D6-D5</f>
        <v/>
      </c>
    </row>
    <row r="9">
      <c r="B9" s="3" t="inlineStr">
        <is>
          <t>CECL Day-One Delta (CECL - IFRS9)</t>
        </is>
      </c>
      <c r="D9" s="19">
        <f>D7-D6</f>
        <v/>
      </c>
    </row>
    <row r="10">
      <c r="B10" s="3" t="inlineStr">
        <is>
          <t>Recommended Stress Buffer</t>
        </is>
      </c>
      <c r="D10" s="20">
        <f>'Macro Sensitivity'!G2</f>
        <v/>
      </c>
    </row>
    <row r="11">
      <c r="B11" s="3" t="inlineStr">
        <is>
          <t>Amount Invested (Automation)</t>
        </is>
      </c>
      <c r="D11" s="7">
        <f>"$"&amp;TEXT(Assumptions!$B$6,"#,##0")</f>
        <v/>
      </c>
    </row>
    <row r="12">
      <c r="B12" s="3" t="inlineStr">
        <is>
          <t>Estimated Year-1 Efficiency ROI</t>
        </is>
      </c>
      <c r="D12" s="8" t="inlineStr">
        <is>
          <t>43%  (reported, see Section 8)</t>
        </is>
      </c>
    </row>
    <row r="13">
      <c r="B13" s="3" t="inlineStr">
        <is>
          <t>Estimated Payback</t>
        </is>
      </c>
      <c r="D13" s="8" t="inlineStr">
        <is>
          <t>8.4 months  (reported, see Section 8)</t>
        </is>
      </c>
    </row>
    <row r="15">
      <c r="B15" s="9" t="inlineStr">
        <is>
          <t>Rows 5-10 recalculate live from the Standard Comparison, Macro Sensitivity, and Assumptions sheets.</t>
        </is>
      </c>
    </row>
    <row r="16">
      <c r="A16" s="27" t="inlineStr">
        <is>
          <t>Business Impact — Modeled Estimate, Not Audited Value</t>
        </is>
      </c>
      <c r="B16" t="inlineStr">
        <is>
          <t>The $4,617,593 IFRS9-vs-flat reserve change and $603,424 CECL-vs-IFRS9 day-one delta are self-computed under this report's own documented staging/LGD assumptions -- they have not been audited by a third party or realized as an actual regulatory capital or reserve outcome.</t>
        </is>
      </c>
    </row>
    <row r="17">
      <c r="A17" s="27" t="inlineStr">
        <is>
          <t>Independent Audit Status</t>
        </is>
      </c>
      <c r="B17" t="inlineStr">
        <is>
          <t>This project was developed as an independent portfolio body of work and has not undergone formal validation, audit, or sign-off by a financial institution's model risk management (SR 11-7 or equivalent) function, a third-party auditor, or a regulator. All model outputs, risk metrics, and business-impact figures in this report are self-computed under the assumptions stated herein and have not been realized in a live production environment at a financial institution.</t>
        </is>
      </c>
    </row>
  </sheetData>
  <mergeCells count="12">
    <mergeCell ref="D8:E8"/>
    <mergeCell ref="D6:E6"/>
    <mergeCell ref="D7:E7"/>
    <mergeCell ref="D10:E10"/>
    <mergeCell ref="B2:F2"/>
    <mergeCell ref="B15:F15"/>
    <mergeCell ref="D11:E11"/>
    <mergeCell ref="D13:E13"/>
    <mergeCell ref="D5:E5"/>
    <mergeCell ref="B3:F3"/>
    <mergeCell ref="D9:E9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95" customWidth="1" min="3" max="3"/>
  </cols>
  <sheetData>
    <row r="1">
      <c r="A1" s="10" t="inlineStr">
        <is>
          <t>Assumption</t>
        </is>
      </c>
      <c r="B1" s="10" t="inlineStr">
        <is>
          <t>Value</t>
        </is>
      </c>
      <c r="C1" s="10" t="inlineStr">
        <is>
          <t>Source / Rationale</t>
        </is>
      </c>
    </row>
    <row r="2">
      <c r="A2" t="inlineStr">
        <is>
          <t>Ead Per Account Usd</t>
        </is>
      </c>
      <c r="B2" s="21" t="n">
        <v>5000</v>
      </c>
      <c r="C2" s="12" t="inlineStr">
        <is>
          <t>Notebook 08 (inherited, real value read programmatically)</t>
        </is>
      </c>
    </row>
    <row r="3">
      <c r="A3" t="inlineStr">
        <is>
          <t>Baseline Flat Lgd</t>
        </is>
      </c>
      <c r="B3" s="22" t="n">
        <v>0.45</v>
      </c>
      <c r="C3" s="12" t="inlineStr">
        <is>
          <t>Notebook 08 (inherited, real value read programmatically)</t>
        </is>
      </c>
    </row>
    <row r="4">
      <c r="A4" t="inlineStr">
        <is>
          <t>Analyst Hours Saved Per Cycle</t>
        </is>
      </c>
      <c r="B4" s="14" t="n">
        <v>250</v>
      </c>
      <c r="C4" s="12" t="inlineStr">
        <is>
          <t>ASSUMPTION -- illustrative hours saved per quarterly cycle vs a manual dual-standard (IFRS9 3-stage + CECL lifetime) reserve reconciliation, statistical re-validation (chi-square/z-test/PSI), and audit-trail assembly across two accounting standards; edit to your institution's own process-timing data.</t>
        </is>
      </c>
    </row>
    <row r="5">
      <c r="A5" t="inlineStr">
        <is>
          <t>Analyst Hourly Cost Usd</t>
        </is>
      </c>
      <c r="B5" s="21" t="n">
        <v>100</v>
      </c>
      <c r="C5" s="12" t="inlineStr">
        <is>
          <t>ASSUMPTION -- illustrative fully-loaded hourly cost for model-risk/quant-analyst time; edit to your institution's actual cost figure.</t>
        </is>
      </c>
    </row>
    <row r="6">
      <c r="A6" t="inlineStr">
        <is>
          <t>Implementation Cost Usd</t>
        </is>
      </c>
      <c r="B6" s="21" t="n">
        <v>70000</v>
      </c>
      <c r="C6" s="12" t="inlineStr">
        <is>
          <t>ASSUMPTION -- illustrative one-time build/validate/deploy cost for a dual-framework (IFRS9+CECL) ECL engine with statistical validation and macro-sensitivity tooling -- larger than Problem 4's single-framework LGD engine; edit to your institution's actual project cost.</t>
        </is>
      </c>
    </row>
    <row r="7">
      <c r="A7" t="inlineStr">
        <is>
          <t>Annual Validation Cycles</t>
        </is>
      </c>
      <c r="B7" s="14" t="n">
        <v>4</v>
      </c>
      <c r="C7" s="12" t="inlineStr">
        <is>
          <t>ASSUMPTION -- how many times per year this ECL pipeline is re-run and re-validated against a holdout-sized population (illustrative quarterly cadence); edit to your institution's actual monitoring frequency.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2" customWidth="1" min="3" max="3"/>
  </cols>
  <sheetData>
    <row r="1">
      <c r="A1" s="10" t="inlineStr">
        <is>
          <t>Methodology</t>
        </is>
      </c>
      <c r="B1" s="10" t="inlineStr">
        <is>
          <t>Total ECL (USD)</t>
        </is>
      </c>
      <c r="C1" s="10" t="inlineStr">
        <is>
          <t>Delta vs Notebook 08 (USD)</t>
        </is>
      </c>
    </row>
    <row r="2">
      <c r="A2" t="inlineStr">
        <is>
          <t>Notebook 08: Basel/IFRS9, flat 45% LGD, outcome-based Stage 3</t>
        </is>
      </c>
      <c r="B2" s="23" t="n">
        <v>67830905.87</v>
      </c>
      <c r="C2" s="23">
        <f>B2-$B$2</f>
        <v/>
      </c>
    </row>
    <row r="3">
      <c r="A3" t="inlineStr">
        <is>
          <t>Notebook 31: IFRS9 staged, tier-LGD, outcome-free staging</t>
        </is>
      </c>
      <c r="B3" s="23" t="n">
        <v>72448498.95</v>
      </c>
      <c r="C3" s="23">
        <f>B3-$B$2</f>
        <v/>
      </c>
    </row>
    <row r="4">
      <c r="A4" t="inlineStr">
        <is>
          <t>Notebook 31: CECL lifetime-for-all, tier-LGD, no staging</t>
        </is>
      </c>
      <c r="B4" s="23" t="n">
        <v>73051922.56999999</v>
      </c>
      <c r="C4" s="23">
        <f>B4-$B$2</f>
        <v/>
      </c>
    </row>
  </sheetData>
  <conditionalFormatting sqref="B2:B4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26" customWidth="1" min="6" max="6"/>
  </cols>
  <sheetData>
    <row r="1">
      <c r="A1" s="10" t="inlineStr">
        <is>
          <t>Scenario</t>
        </is>
      </c>
      <c r="B1" s="10" t="inlineStr">
        <is>
          <t>Probability</t>
        </is>
      </c>
      <c r="C1" s="10" t="inlineStr">
        <is>
          <t>PD Multiplier</t>
        </is>
      </c>
      <c r="D1" s="10" t="inlineStr">
        <is>
          <t>Total IFRS9 ECL (USD)</t>
        </is>
      </c>
      <c r="E1" s="10" t="n"/>
      <c r="F1" s="10" t="n"/>
      <c r="G1" s="10" t="n"/>
    </row>
    <row r="2">
      <c r="A2" t="inlineStr">
        <is>
          <t>Upside</t>
        </is>
      </c>
      <c r="B2" s="24" t="n">
        <v>0.2</v>
      </c>
      <c r="C2" t="n">
        <v>0.85</v>
      </c>
      <c r="D2" s="23" t="n">
        <v>62509011.41</v>
      </c>
      <c r="F2" t="inlineStr">
        <is>
          <t>Stress Buffer (Downside - Baseline)</t>
        </is>
      </c>
      <c r="G2" s="25">
        <f>D4-D3</f>
        <v/>
      </c>
    </row>
    <row r="3">
      <c r="A3" t="inlineStr">
        <is>
          <t>Baseline</t>
        </is>
      </c>
      <c r="B3" s="24" t="n">
        <v>0.5</v>
      </c>
      <c r="C3" t="n">
        <v>1</v>
      </c>
      <c r="D3" s="23" t="n">
        <v>73540013.42</v>
      </c>
    </row>
    <row r="4">
      <c r="A4" t="inlineStr">
        <is>
          <t>Downside</t>
        </is>
      </c>
      <c r="B4" s="24" t="n">
        <v>0.3</v>
      </c>
      <c r="C4" t="n">
        <v>1.35</v>
      </c>
      <c r="D4" s="23" t="n">
        <v>77255633.18000001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0" t="inlineStr">
        <is>
          <t>Org Level</t>
        </is>
      </c>
      <c r="B1" s="10" t="inlineStr">
        <is>
          <t>Suggestion</t>
        </is>
      </c>
    </row>
    <row r="2">
      <c r="A2" t="inlineStr">
        <is>
          <t>Risk / Quant Analyst</t>
        </is>
      </c>
      <c r="B2" s="12" t="inlineStr">
        <is>
          <t>Re-run Notebooks 30-32 each time Problem 1's champion model or Problem 4's severity tiers refresh; monitor the split-half PSI (last measured 0.0000, 'stable') and re-validate staging if it exceeds 0.10 for two consecutive cycles.</t>
        </is>
      </c>
    </row>
    <row r="3">
      <c r="A3" t="inlineStr">
        <is>
          <t>Model Risk / Compliance (SR 11-7)</t>
        </is>
      </c>
      <c r="B3" s="12" t="inlineStr">
        <is>
          <t>File this notebook's chi-square (p=0.0e+00) and z-test (p=0.0e+00) results, plus the standalone calculator's 91783/91783 self-test pass, with the model's annual validation packet; re-certify before any change to the frozen ecl_scoring_bundle.json.</t>
        </is>
      </c>
    </row>
    <row r="4">
      <c r="A4" t="inlineStr">
        <is>
          <t>Finance / Provisioning</t>
        </is>
      </c>
      <c r="B4" s="12" t="inlineStr">
        <is>
          <t>Update the quarterly provisioning workbook to book IFRS9-staged reserve of $72,448,499 (a $4,617,593 change from the flat-LGD baseline); if reporting under US GAAP, additionally plan for the $603,424 CECL day-one reserve build.</t>
        </is>
      </c>
    </row>
    <row r="5">
      <c r="A5" t="inlineStr">
        <is>
          <t>Regulatory Reporting / Basel Desk</t>
        </is>
      </c>
      <c r="B5" s="12" t="inlineStr">
        <is>
          <t>Reconcile this notebook's tier-LGD, outcome-free-staged ECL against Notebook 08's flat-LGD Basel capital figures each cycle -- both trace to the same real champion PD model ('xgboost'); document the $4,617,593 reconciling difference in the regulatory capital workpapers.</t>
        </is>
      </c>
    </row>
    <row r="6">
      <c r="A6" t="inlineStr">
        <is>
          <t>Executive / CFO</t>
        </is>
      </c>
      <c r="B6" s="12" t="inlineStr">
        <is>
          <t>Hold a stress capital buffer of at least $3,715,620 above the probability-blended IFRS9 reserve for adverse macro conditions (Notebook 32's Downside scenario); approve the $70,000 automation investment given an estimated 8.4-month payback and 43% Year-1 efficiency ROI.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2026-08-24T12:32:53Z</dcterms:created>
  <dcterms:modified xmlns:dcterms="http://purl.org/dc/terms/" xmlns:xsi="http://www.w3.org/2001/XMLSchema-instance" xsi:type="dcterms:W3CDTF">2026-09-04T09:05:35Z</dcterms:modified>
  <cp:lastModifiedBy>Nandagopal R</cp:lastModifiedBy>
</cp:coreProperties>
</file>