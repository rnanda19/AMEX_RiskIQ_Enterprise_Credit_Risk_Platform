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lert Impact" sheetId="3" state="visible" r:id="rId3"/>
    <sheet xmlns:r="http://schemas.openxmlformats.org/officeDocument/2006/relationships" name="Candidate Sweep (NB59)" sheetId="4" state="visible" r:id="rId4"/>
    <sheet xmlns:r="http://schemas.openxmlformats.org/officeDocument/2006/relationships" name="Alert Feed (Live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;-"/>
    <numFmt numFmtId="166" formatCode="0.00&quot;x&quot;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center" wrapText="1"/>
    </xf>
    <xf numFmtId="3" fontId="5" fillId="5" borderId="0" applyAlignment="1" pivotButton="0" quotePrefix="0" xfId="0">
      <alignment horizontal="center"/>
    </xf>
    <xf numFmtId="165" fontId="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7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0" borderId="0" pivotButton="0" quotePrefix="0" xfId="0"/>
    <xf numFmtId="0" fontId="8" fillId="4" borderId="0" pivotButton="0" quotePrefix="0" xfId="0"/>
    <xf numFmtId="165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Flagged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'Alert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'Alert Impact'!$A$2:$A$6</f>
            </numRef>
          </cat>
          <val>
            <numRef>
              <f>'Alert Impact'!$B$2:$B$6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8" headerRowCount="1">
  <autoFilter ref="A1:C8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AlertImpact" displayName="AlertImpact" ref="A1:B14" headerRowCount="1">
  <autoFilter ref="A1:B14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CandidateSweep" displayName="CandidateSweep" ref="A1:I9" headerRowCount="1">
  <autoFilter ref="A1:I9"/>
  <tableColumns count="9">
    <tableColumn id="1" name="Candidate"/>
    <tableColumn id="2" name="N Alerted"/>
    <tableColumn id="3" name="% Alerted"/>
    <tableColumn id="4" name="Default Rate Lift"/>
    <tableColumn id="5" name="Meets KPI"/>
    <tableColumn id="6" name="Precision"/>
    <tableColumn id="7" name="Recall"/>
    <tableColumn id="8" name="F1"/>
    <tableColumn id="9" name="MCC"/>
  </tableColumns>
  <tableStyleInfo name="TableStyleMedium6" showRowStripes="1"/>
</table>
</file>

<file path=xl/tables/table4.xml><?xml version="1.0" encoding="utf-8"?>
<table xmlns="http://schemas.openxmlformats.org/spreadsheetml/2006/main" id="4" name="AlertFeed" displayName="AlertFeed" ref="A1:G33" headerRowCount="1">
  <autoFilter ref="A1:G33"/>
  <tableColumns count="7">
    <tableColumn id="1" name="Month"/>
    <tableColumn id="2" name="N Statements"/>
    <tableColumn id="3" name="N Unique Customers"/>
    <tableColumn id="4" name="Baseline Eligible"/>
    <tableColumn id="5" name="Breach Count"/>
    <tableColumn id="6" name="Consecutive Run Length"/>
    <tableColumn id="7" name="Alert"/>
  </tableColumns>
  <tableStyleInfo name="TableStyleMedium9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11: Real-Time Portfolio Monitoring</t>
        </is>
      </c>
    </row>
    <row r="3">
      <c r="B3" s="2" t="inlineStr">
        <is>
          <t>Comprehensive Financial Impact Summary</t>
        </is>
      </c>
    </row>
    <row r="5">
      <c r="B5" s="3" t="inlineStr">
        <is>
          <t>Winning Candidate</t>
        </is>
      </c>
      <c r="D5" s="4" t="inlineStr">
        <is>
          <t>CONSECUTIVE_BREACH_CANDIDATE=1  (see Candidate Sweep sheet)</t>
        </is>
      </c>
    </row>
    <row r="6">
      <c r="B6" s="3" t="inlineStr">
        <is>
          <t>Defaulters Captured (Exact)</t>
        </is>
      </c>
      <c r="D6" s="5">
        <f>'Alert Impact'!B4</f>
        <v/>
      </c>
    </row>
    <row r="7">
      <c r="B7" s="3" t="inlineStr">
        <is>
          <t>Real Alert Months</t>
        </is>
      </c>
      <c r="D7" s="5">
        <f>'Alert Impact'!B7</f>
        <v/>
      </c>
    </row>
    <row r="8">
      <c r="B8" s="3" t="inlineStr">
        <is>
          <t>Net Benefit / Cycle</t>
        </is>
      </c>
      <c r="D8" s="6">
        <f>'Alert Impact'!B13</f>
        <v/>
      </c>
    </row>
    <row r="9">
      <c r="B9" s="3" t="inlineStr">
        <is>
          <t>Amount Invested</t>
        </is>
      </c>
      <c r="D9" s="7">
        <f>"$"&amp;TEXT(Assumptions!$B$7,"#,##0")</f>
        <v/>
      </c>
    </row>
    <row r="10">
      <c r="B10" s="3" t="inlineStr">
        <is>
          <t>Estimated Year-1 ROI</t>
        </is>
      </c>
      <c r="D10" s="8" t="inlineStr">
        <is>
          <t>74,872%  (reported, see Section 7)</t>
        </is>
      </c>
    </row>
    <row r="11">
      <c r="B11" s="3" t="inlineStr">
        <is>
          <t>Estimated Payback</t>
        </is>
      </c>
      <c r="D11" s="8" t="inlineStr">
        <is>
          <t>0.0 months  (reported, see Section 7)</t>
        </is>
      </c>
    </row>
    <row r="12">
      <c r="B12" s="3" t="inlineStr">
        <is>
          <t>Deployment Status</t>
        </is>
      </c>
      <c r="D12" s="9" t="inlineStr">
        <is>
          <t>RECOMMENDED for production</t>
        </is>
      </c>
    </row>
    <row r="14">
      <c r="B14" s="10" t="inlineStr">
        <is>
          <t>Rows recalculate live from the Assumptions and Alert Impact sheets.</t>
        </is>
      </c>
    </row>
  </sheetData>
  <mergeCells count="11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12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14" t="n">
        <v>0.45</v>
      </c>
      <c r="C3" s="13" t="inlineStr">
        <is>
          <t>Notebook 08 (inherited, real value read programmatically)</t>
        </is>
      </c>
    </row>
    <row r="4">
      <c r="A4" t="inlineStr">
        <is>
          <t>Cohort Intervention Success Rate</t>
        </is>
      </c>
      <c r="B4" s="14" t="n">
        <v>0.12</v>
      </c>
      <c r="C4" s="13" t="inlineStr">
        <is>
          <t>ASSUMPTION -- illustrative efficacy of intensified monitoring/collections outreach applied to the WHOLE COHORT of customers whose latest statement falls in a real ALERT month; set below Problem 7's 15% per-customer intervention rate because this response is triggered by a coarser, whole-portfolio signal applied to an entire monthly cohort rather than a customer-specific behavioral deviation -- edit to your institution's own outcome data.</t>
        </is>
      </c>
    </row>
    <row r="5">
      <c r="A5" t="inlineStr">
        <is>
          <t>Cohort Review Cost Usd Per Account</t>
        </is>
      </c>
      <c r="B5" s="12" t="n">
        <v>12</v>
      </c>
      <c r="C5" s="13" t="inlineStr">
        <is>
          <t>ASSUMPTION -- illustrative lightweight per-account triage cost for a customer in a flagged monthly cohort who does NOT go on to default; set below Problem 7's $15 since these accounts are triaged as part of a batch cohort review process (a monthly list), not individually investigated -- edit to your institution's actual cost.</t>
        </is>
      </c>
    </row>
    <row r="6">
      <c r="A6" t="inlineStr">
        <is>
          <t>Portfolio Risk Review Cost Usd Per Alert Month</t>
        </is>
      </c>
      <c r="B6" s="12" t="n">
        <v>2500</v>
      </c>
      <c r="C6" s="13" t="inlineStr">
        <is>
          <t>ASSUMPTION -- illustrative one-time credit-risk-committee convening plus root-cause investigation cost incurred EACH TIME the control chart declares a real ALERT month -- a genuinely new cost stream with no Problem 5/6/7 analog, reflecting this technique's whole-portfolio, calendar-month event trigger rather than a per-customer signal; edit to your institution's actual review-committee cost.</t>
        </is>
      </c>
    </row>
    <row r="7">
      <c r="A7" t="inlineStr">
        <is>
          <t>Implementation Cost Usd</t>
        </is>
      </c>
      <c r="B7" s="12" t="n">
        <v>38000</v>
      </c>
      <c r="C7" s="13" t="inlineStr">
        <is>
          <t>ASSUMPTION -- illustrative one-time build/validate/deploy cost for the real-time portfolio-monitoring streaming-aggregation service and its ops dashboard + alert feed; set above Problem 7's $30,000 (a stateless per-request scorer) because this service must maintain server-side running history (the alert feed) and an ops dashboard, and below Problem 6's $60,000 model-training pipeline since this technique trains no model at all -- edit to your institution's actual project cost.</t>
        </is>
      </c>
    </row>
    <row r="8">
      <c r="A8" t="inlineStr">
        <is>
          <t>Annual Application Cycles</t>
        </is>
      </c>
      <c r="B8" s="15" t="n">
        <v>12</v>
      </c>
      <c r="C8" s="13" t="inlineStr">
        <is>
          <t>ASSUMPTION -- monthly re-aggregation cadence, matching this technique's own real calendar-month grain (see Notebook 58);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Winning CONSECUTIVE_BREACH_CANDIDATE (Notebook 60)</t>
        </is>
      </c>
      <c r="B2" t="n">
        <v>1</v>
      </c>
    </row>
    <row r="3">
      <c r="A3" t="inlineStr">
        <is>
          <t>Real Holdout Evaluation Population</t>
        </is>
      </c>
      <c r="B3" t="n">
        <v>91783</v>
      </c>
    </row>
    <row r="4">
      <c r="A4" t="inlineStr">
        <is>
          <t>Real Holdout Defaulters (exact)</t>
        </is>
      </c>
      <c r="B4" t="n">
        <v>23766</v>
      </c>
    </row>
    <row r="5">
      <c r="A5" t="inlineStr">
        <is>
          <t>True Positives Flagged (exact)</t>
        </is>
      </c>
      <c r="B5" t="n">
        <v>8972</v>
      </c>
    </row>
    <row r="6">
      <c r="A6" t="inlineStr">
        <is>
          <t>False Positives Flagged (exact)</t>
        </is>
      </c>
      <c r="B6" t="n">
        <v>3999</v>
      </c>
    </row>
    <row r="7">
      <c r="A7" t="inlineStr">
        <is>
          <t>Real Cohort Defaulter Capture Rate</t>
        </is>
      </c>
      <c r="B7" s="16" t="n">
        <v>0.3775140957670622</v>
      </c>
    </row>
    <row r="8">
      <c r="A8" t="inlineStr">
        <is>
          <t>Real Alert-Month Rate</t>
        </is>
      </c>
      <c r="B8" s="16" t="n">
        <v>0.4615384615384616</v>
      </c>
    </row>
    <row r="9">
      <c r="A9" t="inlineStr">
        <is>
          <t>Preventable Defaults</t>
        </is>
      </c>
      <c r="B9">
        <f>ROUND(B5*Assumptions!$B$4,0)</f>
        <v/>
      </c>
    </row>
    <row r="10">
      <c r="A10" t="inlineStr">
        <is>
          <t>Gross Loss Prevented / Cycle (USD)</t>
        </is>
      </c>
      <c r="B10" s="17">
        <f>B9*Assumptions!$B$2*Assumptions!$B$3</f>
        <v/>
      </c>
    </row>
    <row r="11">
      <c r="A11" t="inlineStr">
        <is>
          <t>Cohort Review Cost / Cycle (USD)</t>
        </is>
      </c>
      <c r="B11" s="17">
        <f>B6*Assumptions!$B$5</f>
        <v/>
      </c>
    </row>
    <row r="12">
      <c r="A12" t="inlineStr">
        <is>
          <t>Portfolio Risk Review Cost / Cycle (USD, expected)</t>
        </is>
      </c>
      <c r="B12" s="17">
        <f>B8*Assumptions!$B$6</f>
        <v/>
      </c>
    </row>
    <row r="13">
      <c r="A13" t="inlineStr">
        <is>
          <t>Net Benefit / Cycle (USD)</t>
        </is>
      </c>
      <c r="B13" s="17">
        <f>B10-B11-B12</f>
        <v/>
      </c>
    </row>
    <row r="14">
      <c r="A14" t="inlineStr">
        <is>
          <t>Annual Net Benefit (USD)</t>
        </is>
      </c>
      <c r="B14" s="17">
        <f>B13*Assumptions!$B$8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1" t="inlineStr">
        <is>
          <t>Candidate</t>
        </is>
      </c>
      <c r="B1" s="11" t="inlineStr">
        <is>
          <t>N Alerted</t>
        </is>
      </c>
      <c r="C1" s="11" t="inlineStr">
        <is>
          <t>% Alerted</t>
        </is>
      </c>
      <c r="D1" s="11" t="inlineStr">
        <is>
          <t>Default Rate Lift</t>
        </is>
      </c>
      <c r="E1" s="11" t="inlineStr">
        <is>
          <t>Meets KPI</t>
        </is>
      </c>
      <c r="F1" s="11" t="inlineStr">
        <is>
          <t>Precision</t>
        </is>
      </c>
      <c r="G1" s="11" t="inlineStr">
        <is>
          <t>Recall</t>
        </is>
      </c>
      <c r="H1" s="11" t="inlineStr">
        <is>
          <t>F1</t>
        </is>
      </c>
      <c r="I1" s="11" t="inlineStr">
        <is>
          <t>MCC</t>
        </is>
      </c>
    </row>
    <row r="2">
      <c r="A2" t="n">
        <v>1</v>
      </c>
      <c r="B2" t="n">
        <v>12971</v>
      </c>
      <c r="C2" s="18" t="n">
        <v>0.1413224671235414</v>
      </c>
      <c r="D2" s="19" t="n">
        <v>2.671295678959854</v>
      </c>
      <c r="E2" t="inlineStr">
        <is>
          <t>Yes</t>
        </is>
      </c>
      <c r="F2" t="n">
        <v>0.691696862231131</v>
      </c>
      <c r="G2" t="n">
        <v>0.3775140957670622</v>
      </c>
      <c r="H2" t="n">
        <v>0.4884448920706644</v>
      </c>
      <c r="I2" t="n">
        <v>0.4007865657558358</v>
      </c>
    </row>
    <row r="3">
      <c r="A3" t="n">
        <v>2</v>
      </c>
      <c r="B3" t="n">
        <v>8962</v>
      </c>
      <c r="C3" s="18" t="n">
        <v>0.0976433544338276</v>
      </c>
      <c r="D3" s="19" t="n">
        <v>2.897536538792466</v>
      </c>
      <c r="E3" t="inlineStr">
        <is>
          <t>Yes</t>
        </is>
      </c>
      <c r="F3" t="n">
        <v>0.75027895559027</v>
      </c>
      <c r="G3" t="n">
        <v>0.2829251872422789</v>
      </c>
      <c r="H3" t="n">
        <v>0.410901979956001</v>
      </c>
      <c r="I3" t="n">
        <v>0.3689705403132225</v>
      </c>
    </row>
    <row r="4">
      <c r="A4" t="n">
        <v>3</v>
      </c>
      <c r="B4" t="n">
        <v>3087</v>
      </c>
      <c r="C4" s="18" t="n">
        <v>0.03363367943954763</v>
      </c>
      <c r="D4" s="19" t="n">
        <v>3.629253090976836</v>
      </c>
      <c r="E4" t="inlineStr">
        <is>
          <t>Yes</t>
        </is>
      </c>
      <c r="F4" t="n">
        <v>0.9397473275024295</v>
      </c>
      <c r="G4" t="n">
        <v>0.1220651350669023</v>
      </c>
      <c r="H4" t="n">
        <v>0.2160652441068037</v>
      </c>
      <c r="I4" t="n">
        <v>0.2899465867814195</v>
      </c>
    </row>
    <row r="5">
      <c r="A5" t="n">
        <v>4</v>
      </c>
      <c r="B5" t="n">
        <v>0</v>
      </c>
      <c r="C5" s="18" t="n">
        <v>0</v>
      </c>
      <c r="D5" s="19" t="n">
        <v>0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</row>
    <row r="6">
      <c r="A6" t="n">
        <v>5</v>
      </c>
      <c r="B6" t="n">
        <v>0</v>
      </c>
      <c r="C6" s="18" t="n">
        <v>0</v>
      </c>
      <c r="D6" s="19" t="n">
        <v>0</v>
      </c>
      <c r="E6" t="inlineStr">
        <is>
          <t>No</t>
        </is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n">
        <v>0</v>
      </c>
      <c r="C7" s="18" t="n">
        <v>0</v>
      </c>
      <c r="D7" s="19" t="n">
        <v>0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n">
        <v>8</v>
      </c>
      <c r="B8" t="n">
        <v>0</v>
      </c>
      <c r="C8" s="18" t="n">
        <v>0</v>
      </c>
      <c r="D8" s="19" t="n">
        <v>0</v>
      </c>
      <c r="E8" t="inlineStr">
        <is>
          <t>No</t>
        </is>
      </c>
      <c r="F8" t="n">
        <v>0</v>
      </c>
      <c r="G8" t="n">
        <v>0</v>
      </c>
      <c r="H8" t="n">
        <v>0</v>
      </c>
      <c r="I8" t="n">
        <v>0</v>
      </c>
    </row>
    <row r="9">
      <c r="A9" t="n">
        <v>10</v>
      </c>
      <c r="B9" t="n">
        <v>0</v>
      </c>
      <c r="C9" s="18" t="n">
        <v>0</v>
      </c>
      <c r="D9" s="19" t="n">
        <v>0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2" customWidth="1" min="5" max="5"/>
    <col width="18" customWidth="1" min="6" max="6"/>
    <col width="8" customWidth="1" min="7" max="7"/>
  </cols>
  <sheetData>
    <row r="1">
      <c r="A1" s="11" t="inlineStr">
        <is>
          <t>Month</t>
        </is>
      </c>
      <c r="B1" s="11" t="inlineStr">
        <is>
          <t>N Statements</t>
        </is>
      </c>
      <c r="C1" s="11" t="inlineStr">
        <is>
          <t>N Unique Customers</t>
        </is>
      </c>
      <c r="D1" s="11" t="inlineStr">
        <is>
          <t>Baseline Eligible</t>
        </is>
      </c>
      <c r="E1" s="11" t="inlineStr">
        <is>
          <t>Breach Count</t>
        </is>
      </c>
      <c r="F1" s="11" t="inlineStr">
        <is>
          <t>Consecutive Run Length</t>
        </is>
      </c>
      <c r="G1" s="11" t="inlineStr">
        <is>
          <t>Alert</t>
        </is>
      </c>
    </row>
    <row r="2">
      <c r="A2" t="inlineStr">
        <is>
          <t>2017-03-01</t>
        </is>
      </c>
      <c r="B2" t="n">
        <v>395630</v>
      </c>
      <c r="C2" t="n">
        <v>395630</v>
      </c>
      <c r="D2" t="b">
        <v>0</v>
      </c>
      <c r="E2" t="n">
        <v>0</v>
      </c>
      <c r="F2" t="n">
        <v>0</v>
      </c>
      <c r="G2" t="inlineStr">
        <is>
          <t>No</t>
        </is>
      </c>
    </row>
    <row r="3">
      <c r="A3" t="inlineStr">
        <is>
          <t>2017-04-01</t>
        </is>
      </c>
      <c r="B3" t="n">
        <v>401556</v>
      </c>
      <c r="C3" t="n">
        <v>401556</v>
      </c>
      <c r="D3" t="b">
        <v>0</v>
      </c>
      <c r="E3" t="n">
        <v>0</v>
      </c>
      <c r="F3" t="n">
        <v>0</v>
      </c>
      <c r="G3" t="inlineStr">
        <is>
          <t>No</t>
        </is>
      </c>
    </row>
    <row r="4">
      <c r="A4" t="inlineStr">
        <is>
          <t>2017-05-01</t>
        </is>
      </c>
      <c r="B4" t="n">
        <v>400306</v>
      </c>
      <c r="C4" t="n">
        <v>400306</v>
      </c>
      <c r="D4" t="b">
        <v>0</v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2017-06-01</t>
        </is>
      </c>
      <c r="B5" t="n">
        <v>410384</v>
      </c>
      <c r="C5" t="n">
        <v>410384</v>
      </c>
      <c r="D5" t="b">
        <v>0</v>
      </c>
      <c r="E5" t="n">
        <v>0</v>
      </c>
      <c r="F5" t="n">
        <v>0</v>
      </c>
      <c r="G5" t="inlineStr">
        <is>
          <t>No</t>
        </is>
      </c>
    </row>
    <row r="6">
      <c r="A6" t="inlineStr">
        <is>
          <t>2017-07-01</t>
        </is>
      </c>
      <c r="B6" t="n">
        <v>415602</v>
      </c>
      <c r="C6" t="n">
        <v>415602</v>
      </c>
      <c r="D6" t="b">
        <v>0</v>
      </c>
      <c r="E6" t="n">
        <v>0</v>
      </c>
      <c r="F6" t="n">
        <v>0</v>
      </c>
      <c r="G6" t="inlineStr">
        <is>
          <t>No</t>
        </is>
      </c>
    </row>
    <row r="7">
      <c r="A7" t="inlineStr">
        <is>
          <t>2017-08-01</t>
        </is>
      </c>
      <c r="B7" t="n">
        <v>421099</v>
      </c>
      <c r="C7" t="n">
        <v>421099</v>
      </c>
      <c r="D7" t="b">
        <v>0</v>
      </c>
      <c r="E7" t="n">
        <v>0</v>
      </c>
      <c r="F7" t="n">
        <v>0</v>
      </c>
      <c r="G7" t="inlineStr">
        <is>
          <t>No</t>
        </is>
      </c>
    </row>
    <row r="8">
      <c r="A8" s="20" t="inlineStr">
        <is>
          <t>2017-09-01</t>
        </is>
      </c>
      <c r="B8" s="20" t="n">
        <v>425455</v>
      </c>
      <c r="C8" s="20" t="n">
        <v>425455</v>
      </c>
      <c r="D8" s="20" t="b">
        <v>1</v>
      </c>
      <c r="E8" s="20" t="n">
        <v>1</v>
      </c>
      <c r="F8" s="20" t="n">
        <v>1</v>
      </c>
      <c r="G8" s="20" t="inlineStr">
        <is>
          <t>Yes</t>
        </is>
      </c>
    </row>
    <row r="9">
      <c r="A9" s="20" t="inlineStr">
        <is>
          <t>2017-10-01</t>
        </is>
      </c>
      <c r="B9" s="20" t="n">
        <v>430292</v>
      </c>
      <c r="C9" s="20" t="n">
        <v>430292</v>
      </c>
      <c r="D9" s="20" t="b">
        <v>1</v>
      </c>
      <c r="E9" s="20" t="n">
        <v>1</v>
      </c>
      <c r="F9" s="20" t="n">
        <v>2</v>
      </c>
      <c r="G9" s="20" t="inlineStr">
        <is>
          <t>Yes</t>
        </is>
      </c>
    </row>
    <row r="10">
      <c r="A10" s="20" t="inlineStr">
        <is>
          <t>2017-11-01</t>
        </is>
      </c>
      <c r="B10" s="20" t="n">
        <v>434268</v>
      </c>
      <c r="C10" s="20" t="n">
        <v>434268</v>
      </c>
      <c r="D10" s="20" t="b">
        <v>1</v>
      </c>
      <c r="E10" s="20" t="n">
        <v>1</v>
      </c>
      <c r="F10" s="20" t="n">
        <v>3</v>
      </c>
      <c r="G10" s="20" t="inlineStr">
        <is>
          <t>Yes</t>
        </is>
      </c>
    </row>
    <row r="11">
      <c r="A11" s="20" t="inlineStr">
        <is>
          <t>2017-12-01</t>
        </is>
      </c>
      <c r="B11" s="20" t="n">
        <v>438910</v>
      </c>
      <c r="C11" s="20" t="n">
        <v>438910</v>
      </c>
      <c r="D11" s="20" t="b">
        <v>1</v>
      </c>
      <c r="E11" s="20" t="n">
        <v>1</v>
      </c>
      <c r="F11" s="20" t="n">
        <v>4</v>
      </c>
      <c r="G11" s="20" t="inlineStr">
        <is>
          <t>Yes</t>
        </is>
      </c>
    </row>
    <row r="12">
      <c r="A12" s="20" t="inlineStr">
        <is>
          <t>2018-01-01</t>
        </is>
      </c>
      <c r="B12" s="20" t="n">
        <v>446255</v>
      </c>
      <c r="C12" s="20" t="n">
        <v>446255</v>
      </c>
      <c r="D12" s="20" t="b">
        <v>1</v>
      </c>
      <c r="E12" s="20" t="n">
        <v>1</v>
      </c>
      <c r="F12" s="20" t="n">
        <v>5</v>
      </c>
      <c r="G12" s="20" t="inlineStr">
        <is>
          <t>Yes</t>
        </is>
      </c>
    </row>
    <row r="13">
      <c r="A13" s="20" t="inlineStr">
        <is>
          <t>2018-02-01</t>
        </is>
      </c>
      <c r="B13" s="20" t="n">
        <v>452781</v>
      </c>
      <c r="C13" s="20" t="n">
        <v>452781</v>
      </c>
      <c r="D13" s="20" t="b">
        <v>1</v>
      </c>
      <c r="E13" s="20" t="n">
        <v>1</v>
      </c>
      <c r="F13" s="20" t="n">
        <v>6</v>
      </c>
      <c r="G13" s="20" t="inlineStr">
        <is>
          <t>Yes</t>
        </is>
      </c>
    </row>
    <row r="14">
      <c r="A14" s="20" t="inlineStr">
        <is>
          <t>2018-03-01</t>
        </is>
      </c>
      <c r="B14" s="20" t="n">
        <v>458913</v>
      </c>
      <c r="C14" s="20" t="n">
        <v>458913</v>
      </c>
      <c r="D14" s="20" t="b">
        <v>1</v>
      </c>
      <c r="E14" s="20" t="n">
        <v>3</v>
      </c>
      <c r="F14" s="20" t="n">
        <v>7</v>
      </c>
      <c r="G14" s="20" t="inlineStr">
        <is>
          <t>Yes</t>
        </is>
      </c>
    </row>
    <row r="15">
      <c r="A15" t="inlineStr">
        <is>
          <t>2018-04-01</t>
        </is>
      </c>
      <c r="B15" t="n">
        <v>410283</v>
      </c>
      <c r="C15" t="n">
        <v>410283</v>
      </c>
      <c r="D15" t="b">
        <v>1</v>
      </c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2018-05-01</t>
        </is>
      </c>
      <c r="B16" t="n">
        <v>415458</v>
      </c>
      <c r="C16" t="n">
        <v>415458</v>
      </c>
      <c r="D16" t="b">
        <v>1</v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2018-06-01</t>
        </is>
      </c>
      <c r="B17" t="n">
        <v>420206</v>
      </c>
      <c r="C17" t="n">
        <v>420206</v>
      </c>
      <c r="D17" t="b">
        <v>1</v>
      </c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2018-07-01</t>
        </is>
      </c>
      <c r="B18" t="n">
        <v>424757</v>
      </c>
      <c r="C18" t="n">
        <v>424757</v>
      </c>
      <c r="D18" t="b">
        <v>1</v>
      </c>
      <c r="E18" t="n">
        <v>0</v>
      </c>
      <c r="F18" t="n">
        <v>0</v>
      </c>
      <c r="G18" t="inlineStr">
        <is>
          <t>No</t>
        </is>
      </c>
    </row>
    <row r="19">
      <c r="A19" t="inlineStr">
        <is>
          <t>2018-08-01</t>
        </is>
      </c>
      <c r="B19" t="n">
        <v>430648</v>
      </c>
      <c r="C19" t="n">
        <v>430648</v>
      </c>
      <c r="D19" t="b">
        <v>1</v>
      </c>
      <c r="E19" t="n">
        <v>0</v>
      </c>
      <c r="F19" t="n">
        <v>0</v>
      </c>
      <c r="G19" t="inlineStr">
        <is>
          <t>No</t>
        </is>
      </c>
    </row>
    <row r="20">
      <c r="A20" t="inlineStr">
        <is>
          <t>2018-09-01</t>
        </is>
      </c>
      <c r="B20" t="n">
        <v>436207</v>
      </c>
      <c r="C20" t="n">
        <v>436207</v>
      </c>
      <c r="D20" t="b">
        <v>1</v>
      </c>
      <c r="E20" t="n">
        <v>0</v>
      </c>
      <c r="F20" t="n">
        <v>0</v>
      </c>
      <c r="G20" t="inlineStr">
        <is>
          <t>No</t>
        </is>
      </c>
    </row>
    <row r="21">
      <c r="A21" t="inlineStr">
        <is>
          <t>2018-10-01</t>
        </is>
      </c>
      <c r="B21" t="n">
        <v>851138</v>
      </c>
      <c r="C21" t="n">
        <v>851138</v>
      </c>
      <c r="D21" t="b">
        <v>1</v>
      </c>
      <c r="E21" t="n">
        <v>0</v>
      </c>
      <c r="F21" t="n">
        <v>0</v>
      </c>
      <c r="G21" t="inlineStr">
        <is>
          <t>No</t>
        </is>
      </c>
    </row>
    <row r="22">
      <c r="A22" t="inlineStr">
        <is>
          <t>2018-11-01</t>
        </is>
      </c>
      <c r="B22" t="n">
        <v>860669</v>
      </c>
      <c r="C22" t="n">
        <v>860669</v>
      </c>
      <c r="D22" t="b">
        <v>1</v>
      </c>
      <c r="E22" t="n">
        <v>0</v>
      </c>
      <c r="F22" t="n">
        <v>0</v>
      </c>
      <c r="G22" t="inlineStr">
        <is>
          <t>No</t>
        </is>
      </c>
    </row>
    <row r="23">
      <c r="A23" t="inlineStr">
        <is>
          <t>2018-12-01</t>
        </is>
      </c>
      <c r="B23" t="n">
        <v>869114</v>
      </c>
      <c r="C23" t="n">
        <v>869114</v>
      </c>
      <c r="D23" t="b">
        <v>1</v>
      </c>
      <c r="E23" t="n">
        <v>0</v>
      </c>
      <c r="F23" t="n">
        <v>0</v>
      </c>
      <c r="G23" t="inlineStr">
        <is>
          <t>No</t>
        </is>
      </c>
    </row>
    <row r="24">
      <c r="A24" t="inlineStr">
        <is>
          <t>2019-01-01</t>
        </is>
      </c>
      <c r="B24" t="n">
        <v>877730</v>
      </c>
      <c r="C24" t="n">
        <v>877730</v>
      </c>
      <c r="D24" t="b">
        <v>1</v>
      </c>
      <c r="E24" t="n">
        <v>0</v>
      </c>
      <c r="F24" t="n">
        <v>0</v>
      </c>
      <c r="G24" t="inlineStr">
        <is>
          <t>No</t>
        </is>
      </c>
    </row>
    <row r="25">
      <c r="A25" t="inlineStr">
        <is>
          <t>2019-02-01</t>
        </is>
      </c>
      <c r="B25" t="n">
        <v>885089</v>
      </c>
      <c r="C25" t="n">
        <v>885089</v>
      </c>
      <c r="D25" t="b">
        <v>1</v>
      </c>
      <c r="E25" t="n">
        <v>0</v>
      </c>
      <c r="F25" t="n">
        <v>0</v>
      </c>
      <c r="G25" t="inlineStr">
        <is>
          <t>No</t>
        </is>
      </c>
    </row>
    <row r="26">
      <c r="A26" t="inlineStr">
        <is>
          <t>2019-03-01</t>
        </is>
      </c>
      <c r="B26" t="n">
        <v>894034</v>
      </c>
      <c r="C26" t="n">
        <v>894034</v>
      </c>
      <c r="D26" t="b">
        <v>1</v>
      </c>
      <c r="E26" t="n">
        <v>0</v>
      </c>
      <c r="F26" t="n">
        <v>0</v>
      </c>
      <c r="G26" t="inlineStr">
        <is>
          <t>No</t>
        </is>
      </c>
    </row>
    <row r="27">
      <c r="A27" t="inlineStr">
        <is>
          <t>2019-04-01</t>
        </is>
      </c>
      <c r="B27" t="n">
        <v>902987</v>
      </c>
      <c r="C27" t="n">
        <v>902987</v>
      </c>
      <c r="D27" t="b">
        <v>1</v>
      </c>
      <c r="E27" t="n">
        <v>0</v>
      </c>
      <c r="F27" t="n">
        <v>0</v>
      </c>
      <c r="G27" t="inlineStr">
        <is>
          <t>No</t>
        </is>
      </c>
    </row>
    <row r="28">
      <c r="A28" t="inlineStr">
        <is>
          <t>2019-05-01</t>
        </is>
      </c>
      <c r="B28" t="n">
        <v>438901</v>
      </c>
      <c r="C28" t="n">
        <v>438901</v>
      </c>
      <c r="D28" t="b">
        <v>1</v>
      </c>
      <c r="E28" t="n">
        <v>0</v>
      </c>
      <c r="F28" t="n">
        <v>0</v>
      </c>
      <c r="G28" t="inlineStr">
        <is>
          <t>No</t>
        </is>
      </c>
    </row>
    <row r="29">
      <c r="A29" t="inlineStr">
        <is>
          <t>2019-06-01</t>
        </is>
      </c>
      <c r="B29" t="n">
        <v>442948</v>
      </c>
      <c r="C29" t="n">
        <v>442948</v>
      </c>
      <c r="D29" t="b">
        <v>1</v>
      </c>
      <c r="E29" t="n">
        <v>0</v>
      </c>
      <c r="F29" t="n">
        <v>0</v>
      </c>
      <c r="G29" t="inlineStr">
        <is>
          <t>No</t>
        </is>
      </c>
    </row>
    <row r="30">
      <c r="A30" t="inlineStr">
        <is>
          <t>2019-07-01</t>
        </is>
      </c>
      <c r="B30" t="n">
        <v>445081</v>
      </c>
      <c r="C30" t="n">
        <v>445081</v>
      </c>
      <c r="D30" t="b">
        <v>1</v>
      </c>
      <c r="E30" t="n">
        <v>0</v>
      </c>
      <c r="F30" t="n">
        <v>0</v>
      </c>
      <c r="G30" t="inlineStr">
        <is>
          <t>No</t>
        </is>
      </c>
    </row>
    <row r="31">
      <c r="A31" t="inlineStr">
        <is>
          <t>2019-08-01</t>
        </is>
      </c>
      <c r="B31" t="n">
        <v>448113</v>
      </c>
      <c r="C31" t="n">
        <v>448113</v>
      </c>
      <c r="D31" t="b">
        <v>1</v>
      </c>
      <c r="E31" t="n">
        <v>0</v>
      </c>
      <c r="F31" t="n">
        <v>0</v>
      </c>
      <c r="G31" t="inlineStr">
        <is>
          <t>No</t>
        </is>
      </c>
    </row>
    <row r="32">
      <c r="A32" t="inlineStr">
        <is>
          <t>2019-09-01</t>
        </is>
      </c>
      <c r="B32" t="n">
        <v>453744</v>
      </c>
      <c r="C32" t="n">
        <v>453744</v>
      </c>
      <c r="D32" t="b">
        <v>1</v>
      </c>
      <c r="E32" t="n">
        <v>0</v>
      </c>
      <c r="F32" t="n">
        <v>0</v>
      </c>
      <c r="G32" t="inlineStr">
        <is>
          <t>No</t>
        </is>
      </c>
    </row>
    <row r="33">
      <c r="A33" s="20" t="inlineStr">
        <is>
          <t>2019-10-01</t>
        </is>
      </c>
      <c r="B33" s="20" t="n">
        <v>456655</v>
      </c>
      <c r="C33" s="20" t="n">
        <v>456655</v>
      </c>
      <c r="D33" s="20" t="b">
        <v>1</v>
      </c>
      <c r="E33" s="20" t="n">
        <v>2</v>
      </c>
      <c r="F33" s="20" t="n">
        <v>1</v>
      </c>
      <c r="G33" s="20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Portfolio Monitoring Ops / Frontline</t>
        </is>
      </c>
      <c r="B2" s="13" t="inlineStr">
        <is>
          <t>Watch the live ops dashboard's Alert Feed tab every real calendar month as new statement batches land -- when a month clears CONSECUTIVE_BREACH_CANDIDATE=1 consecutive breaching months, pull the 12,971-account cohort whose latest statement falls in that month for intensified monitoring/collections outreach -- this is a whole-COHORT action, not a per-customer alert queue like Problem 7's.</t>
        </is>
      </c>
    </row>
    <row r="3">
      <c r="A3" t="inlineStr">
        <is>
          <t>Portfolio Risk Team Lead</t>
        </is>
      </c>
      <c r="B3" s="13" t="inlineStr">
        <is>
          <t>Convene the portfolio risk review each time an alert month fires (12 real alert months of 26 baseline-eligible months on this run, 46.2%) -- track the 1,077-account intervention goal against the 3,999 real false positives (cohort-review cost exposure) as paired monthly KPIs, the same true-positive/false-positive tension every alerting technique in this platform trades, at this technique's own portfolio-month grain.</t>
        </is>
      </c>
    </row>
    <row r="4">
      <c r="A4" t="inlineStr">
        <is>
          <t>Risk / Credit Analyst</t>
        </is>
      </c>
      <c r="B4" s="13" t="inlineStr">
        <is>
          <t>Monitor the real cohort default-rate lift (2.67x, 95% CI [2.6403, 2.7049]) every cycle -- a coarse, month-level signal by construction (see Notebook 58's honesty note), so the CI width matters more here than for a per-customer technique; also watch the split-half score PSI Notebook 60 computed for drift in the underlying monitored columns themselves.</t>
        </is>
      </c>
    </row>
    <row r="5">
      <c r="A5" t="inlineStr">
        <is>
          <t>Model Risk / Compliance (SR 11-7)</t>
        </is>
      </c>
      <c r="B5" s="13" t="inlineStr">
        <is>
          <t>File Notebook 60's bootstrap lift CI, statistical validation table, and API self-test result (True) with the technique's annual governance packet; note this is an unsupervised, rule-based statistical-process-control technique operating on WHOLE-PORTFOLIO aggregates (not a trained classifier, and not a per-customer alert -- that is Problem 7), so governance review should assess CONTROL_LIMIT_K_SIGMA and MIN_TRAILING_MONTHS_FOR_BASELINE stability, not model retraining cadence. Currently RECOMMENDED for production.</t>
        </is>
      </c>
    </row>
    <row r="6">
      <c r="A6" t="inlineStr">
        <is>
          <t>Finance / Provisioning Team</t>
        </is>
      </c>
      <c r="B6" s="13" t="inlineStr">
        <is>
          <t>Use real ALERT months as a trigger for an EARLY, whole-cohort reserve-timing review -- a portfolio-level complement to Problem 7's per-customer alert-triggered reviews; coordinate with Problem 3's ECL work and Problem 4's tier-differentiated LGD for the $ reserve amount per flagged cohort account.</t>
        </is>
      </c>
    </row>
    <row r="7">
      <c r="A7" t="inlineStr">
        <is>
          <t>CFO / Executive Leadership</t>
        </is>
      </c>
      <c r="B7" s="13" t="inlineStr">
        <is>
          <t>Approve the $38,000 investment given an estimated 0.0 months payback and 74,872% Year-1 ROI (net of estimated cohort-review and portfolio-risk-review costs) from monthly-equivalent alert triage; the running ops dashboard + alert feed this notebook packages is the master plan's own literal deliverable for this problem.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2026-08-27T04:48:03Z</dcterms:created>
  <dcterms:modified xmlns:dcterms="http://purl.org/dc/terms/" xmlns:xsi="http://www.w3.org/2001/XMLSchema-instance" xsi:type="dcterms:W3CDTF">2026-08-27T04:48:03Z</dcterms:modified>
</cp:coreProperties>
</file>