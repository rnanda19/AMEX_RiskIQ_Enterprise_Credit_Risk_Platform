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ier Financial Detail" sheetId="3" state="visible" r:id="rId3"/>
    <sheet xmlns:r="http://schemas.openxmlformats.org/officeDocument/2006/relationships" name="SMART Sugg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Recognition by Severity Tier (filter the table to update this chart)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'Tier Financial Detail'!F1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'Tier Financial Detail'!$A$2:$A$4</f>
            </numRef>
          </cat>
          <val>
            <numRef>
              <f>'Tier Financial Detail'!$F$2:$F$4</f>
            </numRef>
          </val>
        </ser>
        <ser>
          <idx val="1"/>
          <order val="1"/>
          <tx>
            <strRef>
              <f>'Tier Financial Detail'!G1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'Tier Financial Detail'!$A$2:$A$4</f>
            </numRef>
          </cat>
          <val>
            <numRef>
              <f>'Tier Financial Detail'!$G$2:$G$4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6" headerRowCount="1">
  <autoFilter ref="A1:C6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TierFinancialDetail" displayName="TierFinancialDetail" ref="A1:G4" headerRowCount="1">
  <autoFilter ref="A1:G4"/>
  <tableColumns count="7">
    <tableColumn id="1" name="Tier"/>
    <tableColumn id="2" name="Population"/>
    <tableColumn id="3" name="Defaulters"/>
    <tableColumn id="4" name="Observed Default Rate"/>
    <tableColumn id="5" name="LGD Assigned"/>
    <tableColumn id="6" name="Loss -- Flat LGD (USD)"/>
    <tableColumn id="7" name="Loss -- Tier LGD (USD)"/>
  </tableColumns>
  <tableStyleInfo name="TableStyleMedium2" showRowStripes="1"/>
</table>
</file>

<file path=xl/tables/table3.xml><?xml version="1.0" encoding="utf-8"?>
<table xmlns="http://schemas.openxmlformats.org/spreadsheetml/2006/main" id="3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4: Delinquency Escalation / Loss Severity</t>
        </is>
      </c>
    </row>
    <row r="3">
      <c r="B3" s="2" t="inlineStr">
        <is>
          <t>Financial Impact Summary</t>
        </is>
      </c>
    </row>
    <row r="4">
      <c r="B4" s="22" t="inlineStr">
        <is>
          <t>Project Portfolio Prepared By Nandagopal R</t>
        </is>
      </c>
    </row>
    <row r="5">
      <c r="B5" s="3" t="inlineStr">
        <is>
          <t>Total Loss -- Flat LGD</t>
        </is>
      </c>
      <c r="D5" s="16">
        <f>SUM('Tier Financial Detail'!F2:F4)</f>
        <v/>
      </c>
    </row>
    <row r="6">
      <c r="B6" s="3" t="inlineStr">
        <is>
          <t>Total Loss -- Tier LGD</t>
        </is>
      </c>
      <c r="D6" s="16">
        <f>SUM('Tier Financial Detail'!G2:G4)</f>
        <v/>
      </c>
    </row>
    <row r="7">
      <c r="B7" s="3" t="inlineStr">
        <is>
          <t>Loss Recognition Change</t>
        </is>
      </c>
      <c r="D7" s="17">
        <f>D6-D5</f>
        <v/>
      </c>
    </row>
    <row r="8">
      <c r="B8" s="3" t="inlineStr">
        <is>
          <t>Est. Loss Prevented / Cycle</t>
        </is>
      </c>
      <c r="D8" s="6" t="inlineStr">
        <is>
          <t>$9,690,840  (reported, see Section 5)</t>
        </is>
      </c>
    </row>
    <row r="9">
      <c r="B9" s="3" t="inlineStr">
        <is>
          <t>Amount Invested</t>
        </is>
      </c>
      <c r="D9" s="7">
        <f>"$"&amp;TEXT(Assumptions!$B$5,"#,##0")</f>
        <v/>
      </c>
    </row>
    <row r="10">
      <c r="B10" s="3" t="inlineStr">
        <is>
          <t>Estimated Year-1 ROI</t>
        </is>
      </c>
      <c r="D10" s="6" t="inlineStr">
        <is>
          <t>64,506%  (reported, see Section 6)</t>
        </is>
      </c>
    </row>
    <row r="11">
      <c r="B11" s="3" t="inlineStr">
        <is>
          <t>Estimated Payback</t>
        </is>
      </c>
      <c r="D11" s="6" t="inlineStr">
        <is>
          <t>0.0 months  (reported, see Section 6)</t>
        </is>
      </c>
    </row>
    <row r="13">
      <c r="B13" s="8" t="inlineStr">
        <is>
          <t>Rows 5-7 and 9 recalculate live from the Assumptions and Tier Financial Detail sheets.</t>
        </is>
      </c>
    </row>
    <row r="14">
      <c r="A14" s="23" t="inlineStr">
        <is>
          <t>Business Impact — Modeled Estimate, Not Audited Value</t>
        </is>
      </c>
      <c r="B14" t="inlineStr">
        <is>
          <t>The $19,435,432 change in recognized loss and the $9,690,840 estimated loss prevented per scoring cycle are self-computed under this report's own tiering and 15% ASSUMPTION-based intervention-success rate -- they have not been audited by a third party or realized inside a live institution.</t>
        </is>
      </c>
    </row>
    <row r="15">
      <c r="A15" s="23" t="inlineStr">
        <is>
          <t>Independent Audit Status</t>
        </is>
      </c>
      <c r="B15" t="inlineStr">
        <is>
          <t>This project was developed as an independent portfolio body of work and has not undergone formal validation, audit, or sign-off by a financial institution's model risk management (SR 11-7 or equivalent) function, a third-party auditor, or a regulator. All model outputs, risk metrics, and business-impact figures in this report are self-computed under the assumptions stated herein and have not been realized in a live production environment at a financial institution.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D9:E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90" customWidth="1" min="3" max="3"/>
  </cols>
  <sheetData>
    <row r="1">
      <c r="A1" s="9" t="inlineStr">
        <is>
          <t>Assumption</t>
        </is>
      </c>
      <c r="B1" s="9" t="inlineStr">
        <is>
          <t>Value</t>
        </is>
      </c>
      <c r="C1" s="9" t="inlineStr">
        <is>
          <t>Source / Rationale</t>
        </is>
      </c>
    </row>
    <row r="2">
      <c r="A2" t="inlineStr">
        <is>
          <t>Ead Per Account Usd</t>
        </is>
      </c>
      <c r="B2" s="18" t="n">
        <v>5000</v>
      </c>
      <c r="C2" s="11" t="inlineStr">
        <is>
          <t>Notebook 08 (inherited, real value read programmatically)</t>
        </is>
      </c>
    </row>
    <row r="3">
      <c r="A3" t="inlineStr">
        <is>
          <t>Baseline Flat Lgd</t>
        </is>
      </c>
      <c r="B3" s="19" t="n">
        <v>0.45</v>
      </c>
      <c r="C3" s="11" t="inlineStr">
        <is>
          <t>Notebook 08 (inherited, real value read programmatically)</t>
        </is>
      </c>
    </row>
    <row r="4">
      <c r="A4" t="inlineStr">
        <is>
          <t>Severe Tier Intervention Success Rate</t>
        </is>
      </c>
      <c r="B4" s="19" t="n">
        <v>0.15</v>
      </c>
      <c r="C4" s="11" t="inlineStr">
        <is>
          <t>ASSUMPTION -- illustrative conservative early-intervention efficacy figure for the highest-severity tier; edit to your institution's own collections-outcome data.</t>
        </is>
      </c>
    </row>
    <row r="5">
      <c r="A5" t="inlineStr">
        <is>
          <t>Implementation Cost Usd</t>
        </is>
      </c>
      <c r="B5" s="18" t="n">
        <v>60000</v>
      </c>
      <c r="C5" s="11" t="inlineStr">
        <is>
          <t>ASSUMPTION -- illustrative one-time build/validate/deploy cost (data science + risk review time); edit to your institution's actual project cost.</t>
        </is>
      </c>
    </row>
    <row r="6">
      <c r="A6" t="inlineStr">
        <is>
          <t>Annual Application Cycles</t>
        </is>
      </c>
      <c r="B6" s="13" t="n">
        <v>4</v>
      </c>
      <c r="C6" s="11" t="inlineStr">
        <is>
          <t>ASSUMPTION -- how many times per year this scoring pipeline is re-run against a holdout-sized population (illustrative quarterly cadence); edit to your institution's actual monitoring frequency.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0" customWidth="1" min="4" max="4"/>
    <col width="12" customWidth="1" min="5" max="5"/>
    <col width="20" customWidth="1" min="6" max="6"/>
    <col width="20" customWidth="1" min="7" max="7"/>
  </cols>
  <sheetData>
    <row r="1">
      <c r="A1" s="9" t="inlineStr">
        <is>
          <t>Tier</t>
        </is>
      </c>
      <c r="B1" s="9" t="inlineStr">
        <is>
          <t>Population</t>
        </is>
      </c>
      <c r="C1" s="9" t="inlineStr">
        <is>
          <t>Defaulters</t>
        </is>
      </c>
      <c r="D1" s="9" t="inlineStr">
        <is>
          <t>Observed Default Rate</t>
        </is>
      </c>
      <c r="E1" s="9" t="inlineStr">
        <is>
          <t>LGD Assigned</t>
        </is>
      </c>
      <c r="F1" s="9" t="inlineStr">
        <is>
          <t>Loss -- Flat LGD (USD)</t>
        </is>
      </c>
      <c r="G1" s="9" t="inlineStr">
        <is>
          <t>Loss -- Tier LGD (USD)</t>
        </is>
      </c>
    </row>
    <row r="2">
      <c r="A2" t="inlineStr">
        <is>
          <t>Low Severity</t>
        </is>
      </c>
      <c r="B2" t="n">
        <v>30328</v>
      </c>
      <c r="C2" t="n">
        <v>407</v>
      </c>
      <c r="D2" s="20" t="n">
        <v>0.01342</v>
      </c>
      <c r="E2" s="20" t="n">
        <v>0.3015</v>
      </c>
      <c r="F2" s="21">
        <f>C2*Assumptions!$B$2*Assumptions!$B$3</f>
        <v/>
      </c>
      <c r="G2" s="21">
        <f>C2*Assumptions!$B$2*E2</f>
        <v/>
      </c>
    </row>
    <row r="3">
      <c r="A3" t="inlineStr">
        <is>
          <t>Moderate Severity</t>
        </is>
      </c>
      <c r="B3" t="n">
        <v>30924</v>
      </c>
      <c r="C3" t="n">
        <v>3422</v>
      </c>
      <c r="D3" s="20" t="n">
        <v>0.110658</v>
      </c>
      <c r="E3" s="20" t="n">
        <v>0.45</v>
      </c>
      <c r="F3" s="21">
        <f>C3*Assumptions!$B$2*Assumptions!$B$3</f>
        <v/>
      </c>
      <c r="G3" s="21">
        <f>C3*Assumptions!$B$2*E3</f>
        <v/>
      </c>
    </row>
    <row r="4">
      <c r="A4" t="inlineStr">
        <is>
          <t>Severe</t>
        </is>
      </c>
      <c r="B4" t="n">
        <v>30531</v>
      </c>
      <c r="C4" t="n">
        <v>19937</v>
      </c>
      <c r="D4" s="20" t="n">
        <v>0.653008</v>
      </c>
      <c r="E4" s="20" t="n">
        <v>0.648</v>
      </c>
      <c r="F4" s="21">
        <f>C4*Assumptions!$B$2*Assumptions!$B$3</f>
        <v/>
      </c>
      <c r="G4" s="21">
        <f>C4*Assumptions!$B$2*E4</f>
        <v/>
      </c>
    </row>
  </sheetData>
  <conditionalFormatting sqref="D2:D4">
    <cfRule type="colorScale" priority="1">
      <colorScale>
        <cfvo type="min"/>
        <cfvo type="max"/>
        <color rgb="0063BE7B"/>
        <color rgb="00F8696B"/>
      </colorScale>
    </cfRule>
  </conditionalFormatting>
  <conditionalFormatting sqref="G2:G4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9" t="inlineStr">
        <is>
          <t>Org Level</t>
        </is>
      </c>
      <c r="B1" s="9" t="inlineStr">
        <is>
          <t>Suggestion</t>
        </is>
      </c>
    </row>
    <row r="2">
      <c r="A2" t="inlineStr">
        <is>
          <t>Collections Agents (Frontline)</t>
        </is>
      </c>
      <c r="B2" s="11" t="inlineStr">
        <is>
          <t>Prioritize outbound contact on the 19,937 real Severe-tier accounts first each day -- their observed default rate (65.3%) is the highest of any tier. Target: attempt contact within 24 hours of a Severe-tier flag.</t>
        </is>
      </c>
    </row>
    <row r="3">
      <c r="A3" t="inlineStr">
        <is>
          <t>Collections Team Lead / Manager</t>
        </is>
      </c>
      <c r="B3" s="11" t="inlineStr">
        <is>
          <t>Track the 2,991-account early-intervention goal (from the 15% ASSUMPTION success rate) as a weekly team KPI; report actual prevented-default count vs. this target each month to calibrate the assumption.</t>
        </is>
      </c>
    </row>
    <row r="4">
      <c r="A4" t="inlineStr">
        <is>
          <t>Risk / Credit Analyst</t>
        </is>
      </c>
      <c r="B4" s="11" t="inlineStr">
        <is>
          <t>Re-run Notebook 27's severity scoring each time Notebook 04's engineered features refresh; monitor the split-half PSI (last measured 0.0000, 'stable') and re-tier if it exceeds 0.10 for two consecutive cycles.</t>
        </is>
      </c>
    </row>
    <row r="5">
      <c r="A5" t="inlineStr">
        <is>
          <t>Model Risk / Compliance (SR 11-7)</t>
        </is>
      </c>
      <c r="B5" s="11" t="inlineStr">
        <is>
          <t>File this notebook's chi-square (p=0.0e+00) and z-test (p=0.0e+00) results with the model's annual validation packet; re-certify before any change to the frozen severity_scoring_bundle.json.</t>
        </is>
      </c>
    </row>
    <row r="6">
      <c r="A6" t="inlineStr">
        <is>
          <t>Finance / Provisioning Team</t>
        </is>
      </c>
      <c r="B6" s="11" t="inlineStr">
        <is>
          <t>Update the quarterly loss-provisioning workbook to use tier-differentiated LGD instead of the flat 45% -- a $19,435,432 recognition difference was measured on this holdout; reconcile within the next provisioning cycle.</t>
        </is>
      </c>
    </row>
    <row r="7">
      <c r="A7" t="inlineStr">
        <is>
          <t>CFO / Executive Leadership</t>
        </is>
      </c>
      <c r="B7" s="11" t="inlineStr">
        <is>
          <t>Approve the $60,000 investment given an estimated 0.0-month payback and 64,506% Year-1 ROI from Severe-tier loss prevention alone; revisit the 4x/year cadence ASSUMPTION at the next quarterly business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2026-08-24T11:21:28Z</dcterms:created>
  <dcterms:modified xmlns:dcterms="http://purl.org/dc/terms/" xmlns:xsi="http://www.w3.org/2001/XMLSchema-instance" xsi:type="dcterms:W3CDTF">2026-09-04T09:05:35Z</dcterms:modified>
  <cp:lastModifiedBy>Nandagopal R</cp:lastModifiedBy>
</cp:coreProperties>
</file>