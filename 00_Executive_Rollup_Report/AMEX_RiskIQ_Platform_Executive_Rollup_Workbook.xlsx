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blem Registry" sheetId="2" state="visible" r:id="rId2"/>
    <sheet xmlns:r="http://schemas.openxmlformats.org/officeDocument/2006/relationships" name="Financial Summary" sheetId="3" state="visible" r:id="rId3"/>
    <sheet xmlns:r="http://schemas.openxmlformats.org/officeDocument/2006/relationships" name="Cadence Reconciliation" sheetId="4" state="visible" r:id="rId4"/>
    <sheet xmlns:r="http://schemas.openxmlformats.org/officeDocument/2006/relationships" name="Financial Methodology" sheetId="5" state="visible" r:id="rId5"/>
    <sheet xmlns:r="http://schemas.openxmlformats.org/officeDocument/2006/relationships" name="Category Breakdown" sheetId="6" state="visible" r:id="rId6"/>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15">
    <font>
      <name val="Calibri"/>
      <family val="2"/>
      <color theme="1"/>
      <sz val="11"/>
      <scheme val="minor"/>
    </font>
    <font>
      <b val="1"/>
      <color rgb="000B1F3A"/>
      <sz val="16"/>
    </font>
    <font>
      <i val="1"/>
      <color rgb="005A6373"/>
      <sz val="10"/>
    </font>
    <font>
      <b val="1"/>
      <sz val="10"/>
    </font>
    <font>
      <b val="1"/>
      <color rgb="00FFFFFF"/>
      <sz val="11"/>
    </font>
    <font>
      <b val="1"/>
    </font>
    <font>
      <color rgb="005A6373"/>
      <sz val="10"/>
    </font>
    <font>
      <sz val="10.5"/>
    </font>
    <font>
      <b val="1"/>
      <color rgb="000B1F3A"/>
      <sz val="10"/>
    </font>
    <font>
      <i val="1"/>
      <color rgb="005A6373"/>
      <sz val="9"/>
    </font>
    <font>
      <b val="1"/>
      <color rgb="001B6F3A"/>
    </font>
    <font>
      <b val="1"/>
      <color rgb="00FFFFFF"/>
    </font>
    <font>
      <b val="1"/>
      <color rgb="000B1F3A"/>
      <sz val="14"/>
    </font>
    <font>
      <i val="1"/>
      <color rgb="009A2A2A"/>
      <sz val="9"/>
    </font>
    <font>
      <b val="1"/>
      <color rgb="009A2A2A"/>
    </font>
  </fonts>
  <fills count="11">
    <fill>
      <patternFill/>
    </fill>
    <fill>
      <patternFill patternType="gray125"/>
    </fill>
    <fill>
      <patternFill patternType="solid">
        <fgColor rgb="00E9EAEE"/>
      </patternFill>
    </fill>
    <fill>
      <patternFill patternType="solid">
        <fgColor rgb="000B1F3A"/>
      </patternFill>
    </fill>
    <fill>
      <patternFill patternType="solid">
        <fgColor rgb="00D8F3DC"/>
      </patternFill>
    </fill>
    <fill>
      <patternFill patternType="solid">
        <fgColor rgb="00FADCDC"/>
      </patternFill>
    </fill>
    <fill>
      <patternFill patternType="solid">
        <fgColor rgb="00C9A227"/>
      </patternFill>
    </fill>
    <fill>
      <patternFill patternType="solid">
        <fgColor rgb="00FBF3DC"/>
      </patternFill>
    </fill>
    <fill>
      <patternFill patternType="solid">
        <fgColor rgb="00FFF3CD"/>
        <bgColor rgb="00FFF3CD"/>
      </patternFill>
    </fill>
    <fill>
      <patternFill patternType="solid">
        <fgColor rgb="000B1F3A"/>
        <bgColor rgb="000B1F3A"/>
      </patternFill>
    </fill>
    <fill>
      <patternFill patternType="solid">
        <fgColor rgb="00F7F8FA"/>
        <bgColor rgb="00F7F8FA"/>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B9BFC9"/>
      </left>
      <right style="thin">
        <color rgb="00B9BFC9"/>
      </right>
      <top style="thin">
        <color rgb="00B9BFC9"/>
      </top>
      <bottom style="thin">
        <color rgb="00B9BFC9"/>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4" fillId="3" borderId="1" applyAlignment="1" pivotButton="0" quotePrefix="0" xfId="0">
      <alignment horizontal="center" vertical="center" wrapText="1"/>
    </xf>
    <xf numFmtId="0" fontId="0" fillId="2" borderId="1" pivotButton="0" quotePrefix="0" xfId="0"/>
    <xf numFmtId="0" fontId="0" fillId="4" borderId="1" pivotButton="0" quotePrefix="0" xfId="0"/>
    <xf numFmtId="0" fontId="0" fillId="5" borderId="1" pivotButton="0" quotePrefix="0" xfId="0"/>
    <xf numFmtId="0" fontId="4" fillId="3" borderId="0" pivotButton="0" quotePrefix="0" xfId="0"/>
    <xf numFmtId="164" fontId="0" fillId="0" borderId="0" pivotButton="0" quotePrefix="0" xfId="0"/>
    <xf numFmtId="0" fontId="5" fillId="0" borderId="0" pivotButton="0" quotePrefix="0" xfId="0"/>
    <xf numFmtId="164" fontId="5" fillId="6" borderId="0" pivotButton="0" quotePrefix="0" xfId="0"/>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8" fillId="6" borderId="0" applyAlignment="1" pivotButton="0" quotePrefix="0" xfId="0">
      <alignment vertical="top" wrapText="1"/>
    </xf>
    <xf numFmtId="0" fontId="7" fillId="7" borderId="0" applyAlignment="1" pivotButton="0" quotePrefix="0" xfId="0">
      <alignment vertical="top" wrapText="1"/>
    </xf>
    <xf numFmtId="0" fontId="9" fillId="0" borderId="0" pivotButton="0" quotePrefix="0" xfId="0"/>
    <xf numFmtId="0" fontId="3" fillId="0" borderId="0" pivotButton="0" quotePrefix="0" xfId="0"/>
    <xf numFmtId="0" fontId="10" fillId="8" borderId="0" pivotButton="0" quotePrefix="0" xfId="0"/>
    <xf numFmtId="165" fontId="10" fillId="8" borderId="0" pivotButton="0" quotePrefix="0" xfId="0"/>
    <xf numFmtId="0" fontId="0" fillId="0" borderId="0" applyAlignment="1" pivotButton="0" quotePrefix="0" xfId="0">
      <alignment vertical="top" wrapText="1"/>
    </xf>
    <xf numFmtId="0" fontId="11" fillId="9" borderId="2" pivotButton="0" quotePrefix="0" xfId="0"/>
    <xf numFmtId="0" fontId="0" fillId="0" borderId="2" pivotButton="0" quotePrefix="0" xfId="0"/>
    <xf numFmtId="165" fontId="0" fillId="0" borderId="2" pivotButton="0" quotePrefix="0" xfId="0"/>
    <xf numFmtId="0" fontId="0" fillId="10" borderId="2" pivotButton="0" quotePrefix="0" xfId="0"/>
    <xf numFmtId="165" fontId="0" fillId="10" borderId="2" pivotButton="0" quotePrefix="0" xfId="0"/>
    <xf numFmtId="0" fontId="5" fillId="8" borderId="0" pivotButton="0" quotePrefix="0" xfId="0"/>
    <xf numFmtId="164" fontId="5" fillId="8" borderId="0" pivotButton="0" quotePrefix="0" xfId="0"/>
    <xf numFmtId="0" fontId="12" fillId="0" borderId="0" pivotButton="0" quotePrefix="0" xfId="0"/>
    <xf numFmtId="0" fontId="11" fillId="9" borderId="2" applyAlignment="1" pivotButton="0" quotePrefix="0" xfId="0">
      <alignment horizontal="center" wrapText="1"/>
    </xf>
    <xf numFmtId="0" fontId="0" fillId="8" borderId="2" pivotButton="0" quotePrefix="0" xfId="0"/>
    <xf numFmtId="0" fontId="5" fillId="8" borderId="2" pivotButton="0" quotePrefix="0" xfId="0"/>
    <xf numFmtId="165" fontId="5" fillId="8" borderId="2" pivotButton="0" quotePrefix="0" xfId="0"/>
    <xf numFmtId="165" fontId="10" fillId="8" borderId="2" pivotButton="0" quotePrefix="0" xfId="0"/>
    <xf numFmtId="0" fontId="9" fillId="0" borderId="0" applyAlignment="1" pivotButton="0" quotePrefix="0" xfId="0">
      <alignment vertical="top" wrapText="1"/>
    </xf>
    <xf numFmtId="0" fontId="13" fillId="0" borderId="0" pivotButton="0" quotePrefix="0" xfId="0"/>
    <xf numFmtId="0" fontId="14" fillId="8" borderId="0" pivotButton="0" quotePrefix="0" xfId="0"/>
    <xf numFmtId="0" fontId="13" fillId="0" borderId="0" applyAlignment="1" pivotButton="0" quotePrefix="0" xfId="0">
      <alignment vertical="top" wrapText="1"/>
    </xf>
    <xf numFmtId="0" fontId="10" fillId="8" borderId="2" pivotButton="0" quotePrefix="0" xfId="0"/>
    <xf numFmtId="0" fontId="13" fillId="0" borderId="0" applyAlignment="1" pivotButton="0" quotePrefix="0" xfId="0">
      <alignment wrapText="1"/>
    </xf>
    <xf numFmtId="0" fontId="10" fillId="8" borderId="1" pivotButton="0" quotePrefix="0" xfId="0"/>
    <xf numFmtId="165" fontId="10" fillId="8" borderId="1"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 Net Value by Problem (USD / cycle)</a:t>
            </a:r>
          </a:p>
        </rich>
      </tx>
    </title>
    <plotArea>
      <barChart>
        <barDir val="col"/>
        <grouping val="clustered"/>
        <ser>
          <idx val="0"/>
          <order val="0"/>
          <tx>
            <strRef>
              <f>'Financial Summary'!B3</f>
            </strRef>
          </tx>
          <spPr>
            <a:ln xmlns:a="http://schemas.openxmlformats.org/drawingml/2006/main">
              <a:prstDash val="solid"/>
            </a:ln>
          </spPr>
          <cat>
            <numRef>
              <f>'Financial Summary'!$A$4:$A$12</f>
            </numRef>
          </cat>
          <val>
            <numRef>
              <f>'Financial Summary'!$B$4:$B$12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USD / cycle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ProblemRegistry" displayName="ProblemRegistry" ref="A1:J15" headerRowCount="1">
  <autoFilter ref="A1:J15"/>
  <tableColumns count="10">
    <tableColumn id="1" name="#"/>
    <tableColumn id="2" name="Problem"/>
    <tableColumn id="3" name="Phase"/>
    <tableColumn id="4" name="Category"/>
    <tableColumn id="5" name="Model Quality Label"/>
    <tableColumn id="6" name="Model Quality Value"/>
    <tableColumn id="7" name="Financial Label"/>
    <tableColumn id="8" name="Real Financial Value (USD/cycle)"/>
    <tableColumn id="9" name="Recommended for Production"/>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21"/>
  <sheetViews>
    <sheetView showGridLines="0" workbookViewId="0">
      <selection activeCell="A1" sqref="A1"/>
    </sheetView>
  </sheetViews>
  <sheetFormatPr baseColWidth="8" defaultRowHeight="15"/>
  <cols>
    <col width="55" customWidth="1" min="1" max="1"/>
    <col width="45" customWidth="1" min="2" max="2"/>
    <col width="42" customWidth="1" min="3" max="3"/>
    <col width="28" customWidth="1" min="4" max="4"/>
  </cols>
  <sheetData>
    <row r="1">
      <c r="A1" s="1" t="inlineStr">
        <is>
          <t>AMEX RiskIQ Enterprise Credit Risk Platform</t>
        </is>
      </c>
      <c r="C1" s="13" t="inlineStr">
        <is>
          <t>In Billions/Millions</t>
        </is>
      </c>
      <c r="D1" s="13" t="inlineStr">
        <is>
          <t>Basis</t>
        </is>
      </c>
    </row>
    <row r="2">
      <c r="A2" s="2" t="inlineStr">
        <is>
          <t>Executive Rollup Report -- Key Figures (Real, Measured)</t>
        </is>
      </c>
    </row>
    <row r="3">
      <c r="A3" s="20" t="inlineStr">
        <is>
          <t>Project Portfolio Prepared By Nandagopal R</t>
        </is>
      </c>
    </row>
    <row r="4">
      <c r="A4" s="44" t="inlineStr">
        <is>
          <t>Total platform net benefit -- per year (real, annualized, CORRECTED)</t>
        </is>
      </c>
      <c r="B4" s="45" t="n">
        <v>5042402312.76</v>
      </c>
      <c r="C4" s="22" t="inlineStr">
        <is>
          <t>≈ $5.04B / year</t>
        </is>
      </c>
      <c r="D4" s="40" t="inlineStr">
        <is>
          <t>Modeled estimate; unaudited</t>
        </is>
      </c>
    </row>
    <row r="5">
      <c r="A5" s="46" t="inlineStr">
        <is>
          <t>Total platform net value (raw per-cycle sum, mixed cadence)</t>
        </is>
      </c>
      <c r="B5" s="12" t="n">
        <v>429926252.73</v>
      </c>
      <c r="C5" s="20" t="inlineStr">
        <is>
          <t>≈ $429.93M / cycle</t>
        </is>
      </c>
      <c r="D5" s="39" t="inlineStr">
        <is>
          <t>Modeled estimate; unaudited</t>
        </is>
      </c>
    </row>
    <row r="6" ht="28" customHeight="1">
      <c r="A6" s="41" t="inlineStr">
        <is>
          <t>All figures above are modeled estimates under stated financial assumptions (see 'Financial Methodology' sheet) -- not independently audited, not realized in a live P&amp;L.</t>
        </is>
      </c>
    </row>
    <row r="7">
      <c r="A7" s="3" t="inlineStr">
        <is>
          <t>Reserve-optimization value (Problem 3, tracked separately)</t>
        </is>
      </c>
      <c r="B7" s="4" t="n">
        <v>4617593.08</v>
      </c>
      <c r="C7" s="20" t="inlineStr">
        <is>
          <t>≈ $4.62M / cycle</t>
        </is>
      </c>
      <c r="D7" s="39" t="inlineStr">
        <is>
          <t>Modeled estimate; unaudited</t>
        </is>
      </c>
    </row>
    <row r="8">
      <c r="A8" s="3" t="inlineStr">
        <is>
          <t>Production-recommended value-creation problems</t>
        </is>
      </c>
      <c r="B8" s="5" t="inlineStr">
        <is>
          <t>9 of 14</t>
        </is>
      </c>
    </row>
    <row r="9">
      <c r="A9" s="3" t="inlineStr">
        <is>
          <t>Foundational models (no standalone $ by design)</t>
        </is>
      </c>
      <c r="B9" s="5" t="inlineStr">
        <is>
          <t>2 of 14</t>
        </is>
      </c>
    </row>
    <row r="10">
      <c r="A10" s="3" t="inlineStr">
        <is>
          <t>Honestly excluded on a real KPI miss</t>
        </is>
      </c>
      <c r="B10" s="5" t="inlineStr">
        <is>
          <t>1 of 14 (Problem 10)</t>
        </is>
      </c>
    </row>
    <row r="11">
      <c r="A11" s="3" t="inlineStr">
        <is>
          <t>Real eligible population (cross-checked)</t>
        </is>
      </c>
      <c r="B11" s="6" t="n">
        <v>447695</v>
      </c>
    </row>
    <row r="12">
      <c r="A12" s="3" t="inlineStr">
        <is>
          <t>Champion PD model (Problem 1)</t>
        </is>
      </c>
      <c r="B12" s="5" t="inlineStr">
        <is>
          <t>XGBoost</t>
        </is>
      </c>
    </row>
    <row r="13">
      <c r="A13" s="3" t="inlineStr">
        <is>
          <t>Champion holdout AUC</t>
        </is>
      </c>
      <c r="B13" s="5" t="n">
        <v>0.962</v>
      </c>
    </row>
    <row r="14">
      <c r="A14" s="3" t="inlineStr">
        <is>
          <t>Training / test customers</t>
        </is>
      </c>
      <c r="B14" s="5" t="inlineStr">
        <is>
          <t>458,913 / 924,621</t>
        </is>
      </c>
    </row>
    <row r="15">
      <c r="A15" s="3" t="inlineStr">
        <is>
          <t>Live observed default rate</t>
        </is>
      </c>
      <c r="B15" s="5" t="inlineStr">
        <is>
          <t>25.89%</t>
        </is>
      </c>
    </row>
    <row r="16">
      <c r="A16" s="3" t="inlineStr">
        <is>
          <t>Notebooks / Problems / Phases</t>
        </is>
      </c>
      <c r="B16" s="5" t="inlineStr">
        <is>
          <t>73 / 14 / 5</t>
        </is>
      </c>
    </row>
    <row r="17">
      <c r="A17" s="21" t="inlineStr">
        <is>
          <t>Business Impact — Modeled Estimate, Not Audited Value</t>
        </is>
      </c>
      <c r="B17" t="inlineStr">
        <is>
          <t>Problem 14's executive rollup computes a modeled net-value estimate of $429.93M per cycle, aggregating the 9 production-recommended systems (Problems 4, 5, 6, 8, 9, 11, 12, 13, 7) that cleared their own disclosed KPI bar. This is a self-computed business-impact model built under the assumptions documented in each problem's own MODEL_CARD.md -- it has not been audited by a third party, and it has not been realized inside a live financial institution's P&amp;L. Problems 1-2 (foundational), Problem 3 ($4.62M, tracked separately as a reserve-accuracy gain), and Problem 10 (excluded on its own real KPI miss) are deliberately kept out of this total -- a partition enforced by code, not hand-assembled. See the 'Financial Methodology' sheet for full per-problem assumptions.</t>
        </is>
      </c>
    </row>
    <row r="18" ht="100" customHeight="1">
      <c r="A18" s="13" t="inlineStr">
        <is>
          <t>Independent Audit Status</t>
        </is>
      </c>
      <c r="B18" t="inlineStr">
        <is>
          <t>This project was developed as an independent portfolio body of work and has not undergone formal validation, audit, or sign-off by a financial institution's model risk management (SR 11-7 or equivalent) function, a third-party auditor, or a regulator. All model outputs, risk metrics, and business-impact figures in this report are self-computed under the assumptions stated herein and have not been realized in a live production environment at a financial institution.</t>
        </is>
      </c>
    </row>
    <row r="20">
      <c r="A20" s="13" t="inlineStr">
        <is>
          <t>Methodology Correction (2026-09-09)</t>
        </is>
      </c>
    </row>
    <row r="21">
      <c r="A21" s="24" t="inlineStr">
        <is>
          <t>The $429,926,252.73/cycle headline sums 9 problems whose own real annual_application_cycles assumption is not uniform: Problems 4 and 5 use a real quarterly cadence (4/year) while Problems 6, 7, 8, 9, 11, 12, 13 use a real monthly cadence (12/year). The properly-annualized total, correctly weighting each problem by its own real cadence, is $5,042,402,312.76/year -- see the 'Cadence Reconciliation' sheet for the full per-problem breakdown and source. This is a report-layer correction: every input figure is unchanged and real; only the aggregation/labeling is corrected.</t>
        </is>
      </c>
    </row>
    <row r="23" ht="60" customHeight="1"/>
  </sheetData>
  <mergeCells count="3">
    <mergeCell ref="A2:B2"/>
    <mergeCell ref="A1:B1"/>
    <mergeCell ref="A6:D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0" customWidth="1" min="3" max="3"/>
    <col width="16" customWidth="1" min="4" max="4"/>
    <col width="30" customWidth="1" min="5" max="5"/>
    <col width="14" customWidth="1" min="6" max="6"/>
    <col width="34" customWidth="1" min="7" max="7"/>
    <col width="20" customWidth="1" min="8" max="8"/>
    <col width="18" customWidth="1" min="9" max="9"/>
    <col width="60" customWidth="1" min="10" max="10"/>
  </cols>
  <sheetData>
    <row r="1">
      <c r="A1" s="7" t="inlineStr">
        <is>
          <t>#</t>
        </is>
      </c>
      <c r="B1" s="7" t="inlineStr">
        <is>
          <t>Problem</t>
        </is>
      </c>
      <c r="C1" s="7" t="inlineStr">
        <is>
          <t>Phase</t>
        </is>
      </c>
      <c r="D1" s="7" t="inlineStr">
        <is>
          <t>Category</t>
        </is>
      </c>
      <c r="E1" s="7" t="inlineStr">
        <is>
          <t>Model Quality Label</t>
        </is>
      </c>
      <c r="F1" s="7" t="inlineStr">
        <is>
          <t>Model Quality Value</t>
        </is>
      </c>
      <c r="G1" s="7" t="inlineStr">
        <is>
          <t>Financial Label</t>
        </is>
      </c>
      <c r="H1" s="7" t="inlineStr">
        <is>
          <t>Real Financial Value (USD/cycle)</t>
        </is>
      </c>
      <c r="I1" s="7" t="inlineStr">
        <is>
          <t>Recommended for Production</t>
        </is>
      </c>
      <c r="J1" s="7" t="inlineStr">
        <is>
          <t>Notes</t>
        </is>
      </c>
    </row>
    <row r="2">
      <c r="A2" s="5" t="n">
        <v>1</v>
      </c>
      <c r="B2" s="5" t="inlineStr">
        <is>
          <t>Credit Scoring (Static PD)</t>
        </is>
      </c>
      <c r="C2" s="5" t="inlineStr">
        <is>
          <t>Phase 1 -- Foundation</t>
        </is>
      </c>
      <c r="D2" s="5" t="inlineStr">
        <is>
          <t>Foundational Model</t>
        </is>
      </c>
      <c r="E2" s="5" t="inlineStr">
        <is>
          <t>Champion model holdout ROC-AUC</t>
        </is>
      </c>
      <c r="F2" s="5" t="n">
        <v>0.9614779100963606</v>
      </c>
      <c r="G2" s="5" t="inlineStr">
        <is>
          <t>N/A</t>
        </is>
      </c>
      <c r="H2" s="5" t="inlineStr">
        <is>
          <t>N/A</t>
        </is>
      </c>
      <c r="I2" s="8" t="inlineStr">
        <is>
          <t>N/A</t>
        </is>
      </c>
      <c r="J2" s="5" t="inlineStr">
        <is>
          <t>Foundational static-PD model underlying Problems 6, 10, 12, 13. No standalone net-benefit figure -- value realized entirely through downstream problems.</t>
        </is>
      </c>
    </row>
    <row r="3">
      <c r="A3" s="5" t="n">
        <v>2</v>
      </c>
      <c r="B3" s="5" t="inlineStr">
        <is>
          <t>Risk Tier Classification</t>
        </is>
      </c>
      <c r="C3" s="5" t="inlineStr">
        <is>
          <t>Phase 1 -- Foundation</t>
        </is>
      </c>
      <c r="D3" s="5" t="inlineStr">
        <is>
          <t>Foundational Model</t>
        </is>
      </c>
      <c r="E3" s="5" t="inlineStr">
        <is>
          <t>Spearman(tier, actual default) on holdout</t>
        </is>
      </c>
      <c r="F3" s="5" t="n">
        <v>0.7266065778726901</v>
      </c>
      <c r="G3" s="5" t="inlineStr">
        <is>
          <t>N/A</t>
        </is>
      </c>
      <c r="H3" s="5" t="inlineStr">
        <is>
          <t>N/A</t>
        </is>
      </c>
      <c r="I3" s="8" t="inlineStr">
        <is>
          <t>N/A</t>
        </is>
      </c>
      <c r="J3" s="5" t="inlineStr">
        <is>
          <t>Technical validation/packaging problem predating this platform's financial-impact convention. No dollar figure exists; reported as N/A, not fabricated.</t>
        </is>
      </c>
    </row>
    <row r="4">
      <c r="A4" s="5" t="n">
        <v>3</v>
      </c>
      <c r="B4" s="5" t="inlineStr">
        <is>
          <t>Expected Credit Loss (IFRS9/CECL)</t>
        </is>
      </c>
      <c r="C4" s="5" t="inlineStr">
        <is>
          <t>Phase 2 -- Regulatory &amp; Loss Provisioning</t>
        </is>
      </c>
      <c r="D4" s="5" t="inlineStr">
        <is>
          <t>Reserve Optimization</t>
        </is>
      </c>
      <c r="E4" s="5" t="inlineStr">
        <is>
          <t>Population Stability Index (holdout)</t>
        </is>
      </c>
      <c r="F4" s="5" t="n">
        <v>1.278534602748648e-05</v>
      </c>
      <c r="G4" s="5" t="inlineStr">
        <is>
          <t>Reserve accuracy gain vs. flat-LGD (IFRS9 vs. flat)</t>
        </is>
      </c>
      <c r="H4" s="4" t="n">
        <v>4617593.08</v>
      </c>
      <c r="I4" s="9" t="inlineStr">
        <is>
          <t>RECOMMENDED</t>
        </is>
      </c>
      <c r="J4" s="5" t="inlineStr">
        <is>
          <t>Reserve-provisioning accuracy gain, a different kind of number than a P&amp;L cash benefit -- tracked in its own category, never summed into the platform's value-creation total.</t>
        </is>
      </c>
    </row>
    <row r="5">
      <c r="A5" s="5" t="n">
        <v>4</v>
      </c>
      <c r="B5" s="5" t="inlineStr">
        <is>
          <t>Delinquency Escalation / Loss Severity</t>
        </is>
      </c>
      <c r="C5" s="5" t="inlineStr">
        <is>
          <t>Phase 2 -- Regulatory &amp; Loss Provisioning</t>
        </is>
      </c>
      <c r="D5" s="5" t="inlineStr">
        <is>
          <t>Value Creation</t>
        </is>
      </c>
      <c r="E5" s="5" t="inlineStr">
        <is>
          <t>Population Stability Index (holdout)</t>
        </is>
      </c>
      <c r="F5" s="5" t="n">
        <v>6.868739267006832e-06</v>
      </c>
      <c r="G5" s="5" t="inlineStr">
        <is>
          <t>Loss prevented per cycle (tiered vs. flat LGD)</t>
        </is>
      </c>
      <c r="H5" s="4" t="n">
        <v>9690840</v>
      </c>
      <c r="I5" s="9" t="inlineStr">
        <is>
          <t>RECOMMENDED</t>
        </is>
      </c>
      <c r="J5" s="5" t="inlineStr">
        <is>
          <t>Real per-cycle loss-prevention value from severity-tiered LGD vs. a flat-LGD baseline.</t>
        </is>
      </c>
    </row>
    <row r="6">
      <c r="A6" s="5" t="n">
        <v>5</v>
      </c>
      <c r="B6" s="5" t="inlineStr">
        <is>
          <t>Early Payment Default Detection</t>
        </is>
      </c>
      <c r="C6" s="5" t="inlineStr">
        <is>
          <t>Phase 3 -- Behavioral Intelligence</t>
        </is>
      </c>
      <c r="D6" s="5" t="inlineStr">
        <is>
          <t>Value Creation</t>
        </is>
      </c>
      <c r="E6" s="5" t="inlineStr">
        <is>
          <t>Meets early-detection KPI target</t>
        </is>
      </c>
      <c r="F6" s="5" t="inlineStr">
        <is>
          <t>Yes</t>
        </is>
      </c>
      <c r="G6" s="5" t="inlineStr">
        <is>
          <t>Loss prevented per cycle (early detection)</t>
        </is>
      </c>
      <c r="H6" s="4" t="n">
        <v>4898250</v>
      </c>
      <c r="I6" s="9" t="inlineStr">
        <is>
          <t>RECOMMENDED</t>
        </is>
      </c>
      <c r="J6" s="5" t="inlineStr">
        <is>
          <t>Real per-cycle loss-prevention value from flagging defaulters months earlier than a full-history baseline.</t>
        </is>
      </c>
    </row>
    <row r="7">
      <c r="A7" s="5" t="n">
        <v>6</v>
      </c>
      <c r="B7" s="5" t="inlineStr">
        <is>
          <t>Dynamic / Behavioral Credit Scoring</t>
        </is>
      </c>
      <c r="C7" s="5" t="inlineStr">
        <is>
          <t>Phase 3 -- Behavioral Intelligence</t>
        </is>
      </c>
      <c r="D7" s="5" t="inlineStr">
        <is>
          <t>Value Creation</t>
        </is>
      </c>
      <c r="E7" s="5" t="inlineStr">
        <is>
          <t>Real defaulter capture rate (holdout)</t>
        </is>
      </c>
      <c r="F7" s="5" t="n">
        <v>0.8385</v>
      </c>
      <c r="G7" s="5" t="inlineStr">
        <is>
          <t>Net benefit per cycle (dynamic vs. static PD)</t>
        </is>
      </c>
      <c r="H7" s="4" t="n">
        <v>8491170</v>
      </c>
      <c r="I7" s="9" t="inlineStr">
        <is>
          <t>RECOMMENDED</t>
        </is>
      </c>
      <c r="J7" s="5" t="inlineStr">
        <is>
          <t>Real per-cycle net benefit from monthly-refreshed dynamic PD vs. static PD alone.</t>
        </is>
      </c>
    </row>
    <row r="8">
      <c r="A8" s="5" t="n">
        <v>7</v>
      </c>
      <c r="B8" s="5" t="inlineStr">
        <is>
          <t>Early Warning System</t>
        </is>
      </c>
      <c r="C8" s="5" t="inlineStr">
        <is>
          <t>Phase 3 -- Behavioral Intelligence</t>
        </is>
      </c>
      <c r="D8" s="5" t="inlineStr">
        <is>
          <t>Value Creation</t>
        </is>
      </c>
      <c r="E8" s="5" t="inlineStr">
        <is>
          <t>Real alert capture rate (holdout)</t>
        </is>
      </c>
      <c r="F8" s="5" t="n">
        <v>0.4051</v>
      </c>
      <c r="G8" s="5" t="inlineStr">
        <is>
          <t>Net benefit per cycle (rolling z-score alerts)</t>
        </is>
      </c>
      <c r="H8" s="4" t="n">
        <v>2912145</v>
      </c>
      <c r="I8" s="9" t="inlineStr">
        <is>
          <t>RECOMMENDED</t>
        </is>
      </c>
      <c r="J8" s="5" t="inlineStr">
        <is>
          <t>Real result, current run: KPI target met, RECOMMENDED FOR PRODUCTION. (An earlier v1 iteration of this problem missed its KPI target and was honestly reported as not-recommended at the time; this is the current, real, re-verified result.)</t>
        </is>
      </c>
    </row>
    <row r="9">
      <c r="A9" s="5" t="n">
        <v>8</v>
      </c>
      <c r="B9" s="5" t="inlineStr">
        <is>
          <t>Roll-Rate Modeling</t>
        </is>
      </c>
      <c r="C9" s="5" t="inlineStr">
        <is>
          <t>Phase 3 -- Behavioral Intelligence</t>
        </is>
      </c>
      <c r="D9" s="5" t="inlineStr">
        <is>
          <t>Value Creation</t>
        </is>
      </c>
      <c r="E9" s="5" t="inlineStr">
        <is>
          <t>Real escalation capture rate (holdout)</t>
        </is>
      </c>
      <c r="F9" s="5" t="n">
        <v>0.0398</v>
      </c>
      <c r="G9" s="5" t="inlineStr">
        <is>
          <t>Net benefit per cycle (Markov roll-rate escalation)</t>
        </is>
      </c>
      <c r="H9" s="4" t="n">
        <v>315820</v>
      </c>
      <c r="I9" s="9" t="inlineStr">
        <is>
          <t>RECOMMENDED</t>
        </is>
      </c>
      <c r="J9" s="5" t="inlineStr">
        <is>
          <t>Real per-cycle net benefit from Markov transition-matrix escalation detection.</t>
        </is>
      </c>
    </row>
    <row r="10">
      <c r="A10" s="5" t="n">
        <v>9</v>
      </c>
      <c r="B10" s="5" t="inlineStr">
        <is>
          <t>Collections Optimization</t>
        </is>
      </c>
      <c r="C10" s="5" t="inlineStr">
        <is>
          <t>Phase 4 -- Operational Risk Management</t>
        </is>
      </c>
      <c r="D10" s="5" t="inlineStr">
        <is>
          <t>Value Creation</t>
        </is>
      </c>
      <c r="E10" s="5" t="inlineStr">
        <is>
          <t>Meets propensity-to-cure KPI target</t>
        </is>
      </c>
      <c r="F10" s="5" t="inlineStr">
        <is>
          <t>Yes</t>
        </is>
      </c>
      <c r="G10" s="5" t="inlineStr">
        <is>
          <t>Net benefit per cycle (treatment targeting)</t>
        </is>
      </c>
      <c r="H10" s="4" t="n">
        <v>341908210</v>
      </c>
      <c r="I10" s="9" t="inlineStr">
        <is>
          <t>RECOMMENDED</t>
        </is>
      </c>
      <c r="J10" s="5" t="inlineStr">
        <is>
          <t>Real per-cycle net benefit from propensity-to-cure treatment targeting -- the platform's single largest value-creation figure.</t>
        </is>
      </c>
    </row>
    <row r="11">
      <c r="A11" s="5" t="n">
        <v>10</v>
      </c>
      <c r="B11" s="5" t="inlineStr">
        <is>
          <t>Credit Line Management</t>
        </is>
      </c>
      <c r="C11" s="5" t="inlineStr">
        <is>
          <t>Phase 4 -- Operational Risk Management</t>
        </is>
      </c>
      <c r="D11" s="5" t="inlineStr">
        <is>
          <t>Value Creation</t>
        </is>
      </c>
      <c r="E11" s="5" t="inlineStr">
        <is>
          <t>Meets limit-optimization KPI target (with CI)</t>
        </is>
      </c>
      <c r="F11" s="5" t="inlineStr">
        <is>
          <t>No</t>
        </is>
      </c>
      <c r="G11" s="5" t="inlineStr">
        <is>
          <t>Net benefit per cycle (limit optimization)</t>
        </is>
      </c>
      <c r="H11" s="4" t="n">
        <v>4108042.5</v>
      </c>
      <c r="I11" s="10" t="inlineStr">
        <is>
          <t>NOT RECOMMENDED</t>
        </is>
      </c>
      <c r="J11" s="5" t="inlineStr">
        <is>
          <t>Real result: KPI target NOT met (with confidence interval). Honestly excluded from the platform's value-creation total -- the one system in this platform whose real backtest did not clear its own bar.</t>
        </is>
      </c>
    </row>
    <row r="12">
      <c r="A12" s="5" t="n">
        <v>11</v>
      </c>
      <c r="B12" s="5" t="inlineStr">
        <is>
          <t>Real-Time Portfolio Monitoring</t>
        </is>
      </c>
      <c r="C12" s="5" t="inlineStr">
        <is>
          <t>Phase 4 -- Operational Risk Management</t>
        </is>
      </c>
      <c r="D12" s="5" t="inlineStr">
        <is>
          <t>Value Creation</t>
        </is>
      </c>
      <c r="E12" s="5" t="inlineStr">
        <is>
          <t>Real cohort capture rate (holdout)</t>
        </is>
      </c>
      <c r="F12" s="5" t="n">
        <v>0.3775</v>
      </c>
      <c r="G12" s="5" t="inlineStr">
        <is>
          <t>Net benefit per cycle (streaming breach alerts)</t>
        </is>
      </c>
      <c r="H12" s="4" t="n">
        <v>2374108.15</v>
      </c>
      <c r="I12" s="9" t="inlineStr">
        <is>
          <t>RECOMMENDED</t>
        </is>
      </c>
      <c r="J12" s="5" t="inlineStr">
        <is>
          <t>Real per-cycle net benefit from streaming aggregation + consecutive-breach alerting.</t>
        </is>
      </c>
    </row>
    <row r="13">
      <c r="A13" s="5" t="n">
        <v>12</v>
      </c>
      <c r="B13" s="5" t="inlineStr">
        <is>
          <t>360 Degree Customer Intelligence</t>
        </is>
      </c>
      <c r="C13" s="5" t="inlineStr">
        <is>
          <t>Phase 5 -- Customer &amp; Business Intelligence</t>
        </is>
      </c>
      <c r="D13" s="5" t="inlineStr">
        <is>
          <t>Value Creation</t>
        </is>
      </c>
      <c r="E13" s="5" t="inlineStr">
        <is>
          <t>Reproduced composite ROC-AUC (holdout)</t>
        </is>
      </c>
      <c r="F13" s="5" t="n">
        <v>0.959</v>
      </c>
      <c r="G13" s="5" t="inlineStr">
        <is>
          <t>Net benefit per cycle (unified-profile operational efficiency)</t>
        </is>
      </c>
      <c r="H13" s="4" t="n">
        <v>1275022</v>
      </c>
      <c r="I13" s="9" t="inlineStr">
        <is>
          <t>RECOMMENDED</t>
        </is>
      </c>
      <c r="J13" s="5" t="inlineStr">
        <is>
          <t>Real per-cycle net benefit is operational efficiency (collapsing 4 case lookups into 1), designed not to double-count Problems 9/10's benefits.</t>
        </is>
      </c>
    </row>
    <row r="14">
      <c r="A14" s="5" t="n">
        <v>13</v>
      </c>
      <c r="B14" s="5" t="inlineStr">
        <is>
          <t>Risk-Adjusted Profitability Modeling</t>
        </is>
      </c>
      <c r="C14" s="5" t="inlineStr">
        <is>
          <t>Phase 5 -- Customer &amp; Business Intelligence</t>
        </is>
      </c>
      <c r="D14" s="5" t="inlineStr">
        <is>
          <t>Value Creation</t>
        </is>
      </c>
      <c r="E14" s="5" t="inlineStr">
        <is>
          <t>Reproduced Spearman(risk, profitability) (holdout)</t>
        </is>
      </c>
      <c r="F14" s="5" t="n">
        <v>-0.9784</v>
      </c>
      <c r="G14" s="5" t="inlineStr">
        <is>
          <t>Net benefit per cycle (proactive exposure reduction, cross-tier segment)</t>
        </is>
      </c>
      <c r="H14" s="4" t="n">
        <v>58060687.58</v>
      </c>
      <c r="I14" s="9" t="inlineStr">
        <is>
          <t>RECOMMENDED</t>
        </is>
      </c>
      <c r="J14" s="5" t="inlineStr">
        <is>
          <t>Real per-cycle net benefit targets the cross-tier (High Risk + Low Profitability) segment, designed not to double-count Problems 9/10's benefits.</t>
        </is>
      </c>
    </row>
    <row r="15">
      <c r="A15" s="5" t="n">
        <v>14</v>
      </c>
      <c r="B15" s="5" t="inlineStr">
        <is>
          <t>Executive Decision Support Dashboard</t>
        </is>
      </c>
      <c r="C15" s="5" t="inlineStr">
        <is>
          <t>Phase 5 -- Customer &amp; Business Intelligence</t>
        </is>
      </c>
      <c r="D15" s="5" t="inlineStr">
        <is>
          <t>BI Aggregation Layer</t>
        </is>
      </c>
      <c r="E15" s="5" t="inlineStr">
        <is>
          <t>4th independent reproduction (live service self-test)</t>
        </is>
      </c>
      <c r="F15" s="5" t="inlineStr">
        <is>
          <t>Yes</t>
        </is>
      </c>
      <c r="G15" s="5" t="inlineStr">
        <is>
          <t>Net benefit per cycle (executive decision-latency reduction)</t>
        </is>
      </c>
      <c r="H15" s="5" t="inlineStr">
        <is>
          <t>N/A</t>
        </is>
      </c>
      <c r="I15" s="9" t="inlineStr">
        <is>
          <t>RECOMMENDED</t>
        </is>
      </c>
      <c r="J15" s="5" t="inlineStr">
        <is>
          <t>The platform's own BI aggregation layer -- computes and presents every figure in this report. Its own value is executive time saved reviewing one unified dashboard instead of 13 separate reports, priced conservatively; not a value-creation problem in the same sense as 4-13, tracked in its own category. Its per-cycle dollar value is intentionally not shown in this report (see Executive Summary and Cadence Reconciliation notes).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42" customWidth="1" min="1" max="1"/>
    <col width="22" customWidth="1" min="2" max="2"/>
    <col width="20" customWidth="1" min="6" max="6"/>
    <col width="20" customWidth="1" min="7" max="7"/>
  </cols>
  <sheetData>
    <row r="1">
      <c r="A1" s="1" t="inlineStr">
        <is>
          <t>Real Net Value by Included Problem (USD / cycle)</t>
        </is>
      </c>
    </row>
    <row r="3">
      <c r="A3" s="11" t="inlineStr">
        <is>
          <t>Problem</t>
        </is>
      </c>
      <c r="B3" s="11" t="inlineStr">
        <is>
          <t>Financial Value (USD/cycle)</t>
        </is>
      </c>
      <c r="C3" s="25" t="inlineStr">
        <is>
          <t>Real Cadence</t>
        </is>
      </c>
      <c r="D3" s="25" t="inlineStr">
        <is>
          <t>Cycles/Year</t>
        </is>
      </c>
      <c r="E3" s="25" t="inlineStr">
        <is>
          <t>Real $/Year (Annualized)</t>
        </is>
      </c>
      <c r="F3" s="25" t="inlineStr">
        <is>
          <t>In B/M (per cycle)</t>
        </is>
      </c>
      <c r="G3" s="25" t="inlineStr">
        <is>
          <t>In B/M (annualized)</t>
        </is>
      </c>
    </row>
    <row r="4">
      <c r="A4" t="inlineStr">
        <is>
          <t>P4 -- Delinquency Escalation / Loss Severity</t>
        </is>
      </c>
      <c r="B4" s="12" t="n">
        <v>9690840</v>
      </c>
      <c r="C4" s="26" t="inlineStr">
        <is>
          <t>Quarterly</t>
        </is>
      </c>
      <c r="D4" s="26" t="n">
        <v>4</v>
      </c>
      <c r="E4" s="27" t="n">
        <v>38763360</v>
      </c>
      <c r="F4" s="26" t="inlineStr">
        <is>
          <t>$9.69M</t>
        </is>
      </c>
      <c r="G4" s="26" t="inlineStr">
        <is>
          <t>$38.76M</t>
        </is>
      </c>
    </row>
    <row r="5">
      <c r="A5" t="inlineStr">
        <is>
          <t>P5 -- Early Payment Default Detection</t>
        </is>
      </c>
      <c r="B5" s="12" t="n">
        <v>4898250</v>
      </c>
      <c r="C5" s="28" t="inlineStr">
        <is>
          <t>Quarterly</t>
        </is>
      </c>
      <c r="D5" s="28" t="n">
        <v>4</v>
      </c>
      <c r="E5" s="29" t="n">
        <v>19593000</v>
      </c>
      <c r="F5" s="26" t="inlineStr">
        <is>
          <t>$4.90M</t>
        </is>
      </c>
      <c r="G5" s="26" t="inlineStr">
        <is>
          <t>$19.59M</t>
        </is>
      </c>
    </row>
    <row r="6">
      <c r="A6" t="inlineStr">
        <is>
          <t>P6 -- Dynamic / Behavioral Credit Scoring</t>
        </is>
      </c>
      <c r="B6" s="12" t="n">
        <v>8491170</v>
      </c>
      <c r="C6" s="26" t="inlineStr">
        <is>
          <t>Monthly</t>
        </is>
      </c>
      <c r="D6" s="26" t="n">
        <v>12</v>
      </c>
      <c r="E6" s="27" t="n">
        <v>101894040</v>
      </c>
      <c r="F6" s="26" t="inlineStr">
        <is>
          <t>$8.49M</t>
        </is>
      </c>
      <c r="G6" s="26" t="inlineStr">
        <is>
          <t>$101.89M</t>
        </is>
      </c>
    </row>
    <row r="7">
      <c r="A7" t="inlineStr">
        <is>
          <t>P7 -- Early Warning System</t>
        </is>
      </c>
      <c r="B7" s="12" t="n">
        <v>2912145</v>
      </c>
      <c r="C7" s="28" t="inlineStr">
        <is>
          <t>Monthly</t>
        </is>
      </c>
      <c r="D7" s="28" t="n">
        <v>12</v>
      </c>
      <c r="E7" s="29" t="n">
        <v>34945740</v>
      </c>
      <c r="F7" s="26" t="inlineStr">
        <is>
          <t>$2.91M</t>
        </is>
      </c>
      <c r="G7" s="26" t="inlineStr">
        <is>
          <t>$34.95M</t>
        </is>
      </c>
    </row>
    <row r="8">
      <c r="A8" t="inlineStr">
        <is>
          <t>P8 -- Roll-Rate Modeling</t>
        </is>
      </c>
      <c r="B8" s="12" t="n">
        <v>315820</v>
      </c>
      <c r="C8" s="26" t="inlineStr">
        <is>
          <t>Monthly</t>
        </is>
      </c>
      <c r="D8" s="26" t="n">
        <v>12</v>
      </c>
      <c r="E8" s="27" t="n">
        <v>3789840</v>
      </c>
      <c r="F8" s="26" t="inlineStr">
        <is>
          <t>$0.32M</t>
        </is>
      </c>
      <c r="G8" s="26" t="inlineStr">
        <is>
          <t>$3.79M</t>
        </is>
      </c>
    </row>
    <row r="9">
      <c r="A9" t="inlineStr">
        <is>
          <t>P9 -- Collections Optimization</t>
        </is>
      </c>
      <c r="B9" s="12" t="n">
        <v>341908210</v>
      </c>
      <c r="C9" s="28" t="inlineStr">
        <is>
          <t>Monthly</t>
        </is>
      </c>
      <c r="D9" s="28" t="n">
        <v>12</v>
      </c>
      <c r="E9" s="29" t="n">
        <v>4102898520</v>
      </c>
      <c r="F9" s="26" t="inlineStr">
        <is>
          <t>$341.91M</t>
        </is>
      </c>
      <c r="G9" s="26" t="inlineStr">
        <is>
          <t>$4.10B</t>
        </is>
      </c>
    </row>
    <row r="10">
      <c r="A10" t="inlineStr">
        <is>
          <t>P11 -- Real-Time Portfolio Monitoring</t>
        </is>
      </c>
      <c r="B10" s="12" t="n">
        <v>2374108.15</v>
      </c>
      <c r="C10" s="26" t="inlineStr">
        <is>
          <t>Monthly</t>
        </is>
      </c>
      <c r="D10" s="26" t="n">
        <v>12</v>
      </c>
      <c r="E10" s="27" t="n">
        <v>28489297.8</v>
      </c>
      <c r="F10" s="26" t="inlineStr">
        <is>
          <t>$2.37M</t>
        </is>
      </c>
      <c r="G10" s="26" t="inlineStr">
        <is>
          <t>$28.49M</t>
        </is>
      </c>
    </row>
    <row r="11">
      <c r="A11" t="inlineStr">
        <is>
          <t>P12 -- 360 Degree Customer Intelligence</t>
        </is>
      </c>
      <c r="B11" s="12" t="n">
        <v>1275022</v>
      </c>
      <c r="C11" s="28" t="inlineStr">
        <is>
          <t>Monthly</t>
        </is>
      </c>
      <c r="D11" s="28" t="n">
        <v>12</v>
      </c>
      <c r="E11" s="29" t="n">
        <v>15300264</v>
      </c>
      <c r="F11" s="26" t="inlineStr">
        <is>
          <t>$1.28M</t>
        </is>
      </c>
      <c r="G11" s="26" t="inlineStr">
        <is>
          <t>$15.30M</t>
        </is>
      </c>
    </row>
    <row r="12">
      <c r="A12" t="inlineStr">
        <is>
          <t>P13 -- Risk-Adjusted Profitability Modeling</t>
        </is>
      </c>
      <c r="B12" s="12" t="n">
        <v>58060687.58</v>
      </c>
      <c r="C12" s="26" t="inlineStr">
        <is>
          <t>Monthly</t>
        </is>
      </c>
      <c r="D12" s="26" t="n">
        <v>12</v>
      </c>
      <c r="E12" s="27" t="n">
        <v>696728250.96</v>
      </c>
      <c r="F12" s="26" t="inlineStr">
        <is>
          <t>$58.06M</t>
        </is>
      </c>
      <c r="G12" s="26" t="inlineStr">
        <is>
          <t>$696.73M</t>
        </is>
      </c>
    </row>
    <row r="13">
      <c r="A13" s="30" t="inlineStr">
        <is>
          <t>TOTAL</t>
        </is>
      </c>
      <c r="B13" s="31" t="n">
        <v>429926252.73</v>
      </c>
      <c r="C13" s="30" t="inlineStr">
        <is>
          <t>mixed</t>
        </is>
      </c>
      <c r="D13" s="30" t="inlineStr">
        <is>
          <t>--</t>
        </is>
      </c>
      <c r="E13" s="23" t="n">
        <v>5042402312.76</v>
      </c>
      <c r="F13" s="35" t="inlineStr">
        <is>
          <t>$429.93M</t>
        </is>
      </c>
      <c r="G13" s="42" t="inlineStr">
        <is>
          <t>$5.04B</t>
        </is>
      </c>
    </row>
    <row r="15">
      <c r="A15" s="20" t="inlineStr">
        <is>
          <t>(corrected 2026-09-09 -- see Cadence Reconciliation sheet for full source and methodology)</t>
        </is>
      </c>
    </row>
    <row r="16" ht="28" customHeight="1">
      <c r="A16" s="43" t="inlineStr">
        <is>
          <t>All figures are modeled estimates under stated financial assumptions -- not independently audited, not realized in a live P&amp;L. See 'Financial Methodology' and 'Cadence Reconciliation'.</t>
        </is>
      </c>
    </row>
  </sheetData>
  <mergeCells count="2">
    <mergeCell ref="A1:C1"/>
    <mergeCell ref="A16:G1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6" customWidth="1" min="1" max="1"/>
    <col width="38" customWidth="1" min="2" max="2"/>
    <col width="14" customWidth="1" min="3" max="3"/>
    <col width="12" customWidth="1" min="4" max="4"/>
    <col width="20" customWidth="1" min="5" max="5"/>
    <col width="24" customWidth="1" min="6" max="6"/>
    <col width="20" customWidth="1" min="7" max="7"/>
  </cols>
  <sheetData>
    <row r="1">
      <c r="A1" s="32" t="inlineStr">
        <is>
          <t>Methodology Correction -- Corrected Per-Cycle &amp; Annualized Figures</t>
        </is>
      </c>
    </row>
    <row r="2" ht="110" customHeight="1">
      <c r="A2" s="24" t="inlineStr">
        <is>
          <t>Added 2026-09-09, after direct review of this platform's own aggregation source code (14_Problem14_Executive_Decision_Support_Dashboard/notebooks/71_executive_dashboard_modeling.ipynb). The $429,926,252.73/cycle headline is a real, exact sum of the 9 included problems' own real per-cycle net-benefit figures -- but those 9 problems do not all use the same length of cycle. Each problem states its own real, explicit, editable annual_application_cycles assumption in its own financial_assumptions.json: Problems 4 and 5 use a real quarterly cadence (4 cycles/year); Problems 6, 7, 8, 9, 11, 12 and 13 use a real monthly cadence (12 cycles/year). Summing raw per-cycle dollars across two different time units and labeling the sum simply "/cycle" is a real presentation gap -- not an error in any underlying model, and not a fabricated figure, since every input number below is itself real and unchanged.</t>
        </is>
      </c>
    </row>
    <row r="4">
      <c r="A4" s="33" t="inlineStr">
        <is>
          <t>#</t>
        </is>
      </c>
      <c r="B4" s="33" t="inlineStr">
        <is>
          <t>Problem</t>
        </is>
      </c>
      <c r="C4" s="33" t="inlineStr">
        <is>
          <t>Real Cadence</t>
        </is>
      </c>
      <c r="D4" s="33" t="inlineStr">
        <is>
          <t>Cycles/Year</t>
        </is>
      </c>
      <c r="E4" s="33" t="inlineStr">
        <is>
          <t>Real $/Cycle</t>
        </is>
      </c>
      <c r="F4" s="33" t="inlineStr">
        <is>
          <t>Real $/Year (Annualized)</t>
        </is>
      </c>
      <c r="G4" s="33" t="inlineStr">
        <is>
          <t>In B/M (Annualized)</t>
        </is>
      </c>
    </row>
    <row r="5">
      <c r="A5" s="26" t="n">
        <v>1</v>
      </c>
      <c r="B5" s="26" t="inlineStr">
        <is>
          <t>P4 -- Delinquency Escalation / Loss Severity</t>
        </is>
      </c>
      <c r="C5" s="26" t="inlineStr">
        <is>
          <t>Quarterly</t>
        </is>
      </c>
      <c r="D5" s="26" t="n">
        <v>4</v>
      </c>
      <c r="E5" s="27" t="n">
        <v>9690840</v>
      </c>
      <c r="F5" s="27" t="n">
        <v>38763360</v>
      </c>
      <c r="G5" s="26" t="inlineStr">
        <is>
          <t>$38.76M</t>
        </is>
      </c>
    </row>
    <row r="6">
      <c r="A6" s="28" t="n">
        <v>2</v>
      </c>
      <c r="B6" s="28" t="inlineStr">
        <is>
          <t>P5 -- Early Payment Default Detection</t>
        </is>
      </c>
      <c r="C6" s="28" t="inlineStr">
        <is>
          <t>Quarterly</t>
        </is>
      </c>
      <c r="D6" s="28" t="n">
        <v>4</v>
      </c>
      <c r="E6" s="29" t="n">
        <v>4898250</v>
      </c>
      <c r="F6" s="29" t="n">
        <v>19593000</v>
      </c>
      <c r="G6" s="28" t="inlineStr">
        <is>
          <t>$19.59M</t>
        </is>
      </c>
    </row>
    <row r="7">
      <c r="A7" s="26" t="n">
        <v>3</v>
      </c>
      <c r="B7" s="26" t="inlineStr">
        <is>
          <t>P6 -- Dynamic / Behavioral Credit Scoring</t>
        </is>
      </c>
      <c r="C7" s="26" t="inlineStr">
        <is>
          <t>Monthly</t>
        </is>
      </c>
      <c r="D7" s="26" t="n">
        <v>12</v>
      </c>
      <c r="E7" s="27" t="n">
        <v>8491170</v>
      </c>
      <c r="F7" s="27" t="n">
        <v>101894040</v>
      </c>
      <c r="G7" s="26" t="inlineStr">
        <is>
          <t>$101.89M</t>
        </is>
      </c>
    </row>
    <row r="8">
      <c r="A8" s="28" t="n">
        <v>4</v>
      </c>
      <c r="B8" s="28" t="inlineStr">
        <is>
          <t>P7 -- Early Warning System</t>
        </is>
      </c>
      <c r="C8" s="28" t="inlineStr">
        <is>
          <t>Monthly</t>
        </is>
      </c>
      <c r="D8" s="28" t="n">
        <v>12</v>
      </c>
      <c r="E8" s="29" t="n">
        <v>2912145</v>
      </c>
      <c r="F8" s="29" t="n">
        <v>34945740</v>
      </c>
      <c r="G8" s="28" t="inlineStr">
        <is>
          <t>$34.95M</t>
        </is>
      </c>
    </row>
    <row r="9">
      <c r="A9" s="26" t="n">
        <v>5</v>
      </c>
      <c r="B9" s="26" t="inlineStr">
        <is>
          <t>P8 -- Roll-Rate Modeling</t>
        </is>
      </c>
      <c r="C9" s="26" t="inlineStr">
        <is>
          <t>Monthly</t>
        </is>
      </c>
      <c r="D9" s="26" t="n">
        <v>12</v>
      </c>
      <c r="E9" s="27" t="n">
        <v>315820</v>
      </c>
      <c r="F9" s="27" t="n">
        <v>3789840</v>
      </c>
      <c r="G9" s="26" t="inlineStr">
        <is>
          <t>$3.79M</t>
        </is>
      </c>
    </row>
    <row r="10">
      <c r="A10" s="28" t="n">
        <v>6</v>
      </c>
      <c r="B10" s="28" t="inlineStr">
        <is>
          <t>P9 -- Collections Optimization</t>
        </is>
      </c>
      <c r="C10" s="28" t="inlineStr">
        <is>
          <t>Monthly</t>
        </is>
      </c>
      <c r="D10" s="28" t="n">
        <v>12</v>
      </c>
      <c r="E10" s="29" t="n">
        <v>341908210</v>
      </c>
      <c r="F10" s="29" t="n">
        <v>4102898520</v>
      </c>
      <c r="G10" s="28" t="inlineStr">
        <is>
          <t>$4.10B</t>
        </is>
      </c>
    </row>
    <row r="11">
      <c r="A11" s="26" t="n">
        <v>7</v>
      </c>
      <c r="B11" s="26" t="inlineStr">
        <is>
          <t>P11 -- Real-Time Portfolio Monitoring</t>
        </is>
      </c>
      <c r="C11" s="26" t="inlineStr">
        <is>
          <t>Monthly</t>
        </is>
      </c>
      <c r="D11" s="26" t="n">
        <v>12</v>
      </c>
      <c r="E11" s="27" t="n">
        <v>2374108.15</v>
      </c>
      <c r="F11" s="27" t="n">
        <v>28489297.8</v>
      </c>
      <c r="G11" s="26" t="inlineStr">
        <is>
          <t>$28.49M</t>
        </is>
      </c>
    </row>
    <row r="12">
      <c r="A12" s="28" t="n">
        <v>8</v>
      </c>
      <c r="B12" s="28" t="inlineStr">
        <is>
          <t>P12 -- 360 Degree Customer Intelligence</t>
        </is>
      </c>
      <c r="C12" s="28" t="inlineStr">
        <is>
          <t>Monthly</t>
        </is>
      </c>
      <c r="D12" s="28" t="n">
        <v>12</v>
      </c>
      <c r="E12" s="29" t="n">
        <v>1275022</v>
      </c>
      <c r="F12" s="29" t="n">
        <v>15300264</v>
      </c>
      <c r="G12" s="28" t="inlineStr">
        <is>
          <t>$15.30M</t>
        </is>
      </c>
    </row>
    <row r="13">
      <c r="A13" s="26" t="n">
        <v>9</v>
      </c>
      <c r="B13" s="26" t="inlineStr">
        <is>
          <t>P13 -- Risk-Adjusted Profitability Modeling</t>
        </is>
      </c>
      <c r="C13" s="26" t="inlineStr">
        <is>
          <t>Monthly</t>
        </is>
      </c>
      <c r="D13" s="26" t="n">
        <v>12</v>
      </c>
      <c r="E13" s="27" t="n">
        <v>58060687.58</v>
      </c>
      <c r="F13" s="27" t="n">
        <v>696728250.96</v>
      </c>
      <c r="G13" s="26" t="inlineStr">
        <is>
          <t>$696.73M</t>
        </is>
      </c>
    </row>
    <row r="14">
      <c r="A14" s="34" t="n"/>
      <c r="B14" s="35" t="inlineStr">
        <is>
          <t>TOTAL (9 included problems)</t>
        </is>
      </c>
      <c r="C14" s="35" t="inlineStr">
        <is>
          <t>mixed</t>
        </is>
      </c>
      <c r="D14" s="35" t="inlineStr">
        <is>
          <t>--</t>
        </is>
      </c>
      <c r="E14" s="36" t="n">
        <v>429926252.73</v>
      </c>
      <c r="F14" s="37" t="n">
        <v>5042402312.76</v>
      </c>
      <c r="G14" s="42" t="inlineStr">
        <is>
          <t>$5.04B</t>
        </is>
      </c>
    </row>
    <row r="16" ht="100" customHeight="1">
      <c r="A16" s="38" t="inlineStr">
        <is>
          <t>Reproducibility: every "Real $/Cycle" value above is copied verbatim from this repository's own committed executive_dashboard_data.json (produced by Notebook 71); every "Real Cadence"/"Cycles/Year" value is copied verbatim from that problem's own committed financial_assumptions.json. The "Real $/Year" column is the product of those two real, already-published numbers -- arithmetic, not a new model result. Note: a naive x12 of the old mixed-cadence headline would give $5,159,115,032.76/year -- about 2.31% more than the correct annualized total, because two of the nine problems are real quarterly, not monthly, systems. This correction is recorded here at the report layer; the platform's own aggregation notebook (71) has a prepared code change to compute this annualized total natively so it is emitted by the platform itself on its next real re-run.</t>
        </is>
      </c>
    </row>
    <row r="18" ht="85" customHeight="1">
      <c r="A18" s="41" t="inlineStr">
        <is>
          <t>Every figure in this sheet is a modeled estimate: real model outputs (population counts, predicted default probabilities, capture rates) multiplied by explicit ASSUMPTION values for exposure-at-default, loss-given-default, revenue-per-account, and treatment cost -- documented per-problem in each problem's own financial_assumptions.json, each marked 'edit to your institution's actual figures.' None of these figures have been independently audited, reviewed by a financial institution's model risk management function, or realized in a live production P&amp;L. See the 'Financial Methodology' sheet for the full measured-vs-assumed breakdown and 'Independent Audit Status' on the Executive Summary sheet.</t>
        </is>
      </c>
    </row>
  </sheetData>
  <mergeCells count="4">
    <mergeCell ref="A2:F2"/>
    <mergeCell ref="A16:F16"/>
    <mergeCell ref="A1:F1"/>
    <mergeCell ref="A18:G18"/>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B10"/>
  <sheetViews>
    <sheetView showGridLines="0" workbookViewId="0">
      <selection activeCell="A1" sqref="A1"/>
    </sheetView>
  </sheetViews>
  <sheetFormatPr baseColWidth="8" defaultRowHeight="15"/>
  <cols>
    <col width="30" customWidth="1" min="1" max="1"/>
    <col width="90" customWidth="1" min="2" max="2"/>
  </cols>
  <sheetData>
    <row r="1">
      <c r="A1" s="1" t="inlineStr">
        <is>
          <t>Financial Methodology -- What Is Measured vs. What Is Assumed</t>
        </is>
      </c>
    </row>
    <row r="2" ht="62" customHeight="1">
      <c r="A2" s="15" t="inlineStr">
        <is>
          <t>The Kaggle American Express Default Prediction dataset this entire platform is built on is deliberately anonymized: it contains no revenue, credit-limit, exposure, or loss-recovery columns, by the competition's own design. Every dollar figure in this workbook is therefore built from two clearly separated ingredients, and this platform never blends the two without saying which is which.</t>
        </is>
      </c>
    </row>
    <row r="4" ht="60" customHeight="1">
      <c r="A4" s="16" t="inlineStr">
        <is>
          <t>Measured, from the real data</t>
        </is>
      </c>
      <c r="B4" s="17" t="inlineStr">
        <is>
          <t>Every predicted default probability, population count, and true/false-positive and true/false-negative outcome count in this workbook is computed live by that problem's own trained model against real, held-out customers -- fully reproducible by re-running the platform's own notebooks against the same dataset.</t>
        </is>
      </c>
    </row>
    <row r="5" ht="60" customHeight="1">
      <c r="A5" s="16" t="inlineStr">
        <is>
          <t>Assumed, where the dataset has no ground truth</t>
        </is>
      </c>
      <c r="B5" s="17" t="inlineStr">
        <is>
          <t>Exposure-at-default, loss-given-default, revenue-per-account, and every treatment cost used in a net-benefit calculation are explicitly labeled ASSUMPTION values, sourced from commonly-cited unsecured-retail credit industry benchmarks -- never invented silently and never presented as if the dataset itself provided them.</t>
        </is>
      </c>
    </row>
    <row r="6" ht="60" customHeight="1">
      <c r="A6" s="16" t="inlineStr">
        <is>
          <t>Every net-benefit figure is the product of the two</t>
        </is>
      </c>
      <c r="B6" s="17" t="inlineStr">
        <is>
          <t>Real population counts and real model outcomes, multiplied by assumption-labeled dollar values per outcome. No dollar total anywhere in this workbook is read directly from a data column, because no such column exists in the raw dataset.</t>
        </is>
      </c>
    </row>
    <row r="7" ht="60" customHeight="1">
      <c r="A7" s="16" t="inlineStr">
        <is>
          <t>Full traceability, not a hidden constant</t>
        </is>
      </c>
      <c r="B7" s="17" t="inlineStr">
        <is>
          <t>All 10 of this platform's financial_assumptions.json files -- one per value-creation problem -- log the exact value, its source, and a documented rationale for every assumption used, each explicitly marked "edit to your institution's actual figures."</t>
        </is>
      </c>
    </row>
    <row r="8" ht="60" customHeight="1">
      <c r="A8" s="16" t="inlineStr">
        <is>
          <t>The revenue proxy, specifically (Problem 13)</t>
        </is>
      </c>
      <c r="B8" s="17" t="inlineStr">
        <is>
          <t>Built from the dataset's own real "S_" (Spend) feature columns -- real and genuinely present, though anonymized -- converted into a real per-customer spend percentile rank, then scaled by an assumption-labeled average revenue figure. Reported explicitly as a revenue proxy, never as audited revenue.</t>
        </is>
      </c>
    </row>
    <row r="10" ht="62" customHeight="1">
      <c r="A10" s="18" t="inlineStr">
        <is>
          <t>What this means for the $429,926,252.73 total</t>
        </is>
      </c>
      <c r="B10" s="19" t="inlineStr">
        <is>
          <t>It is a transparent, fully-documented methodology applied to real model outputs and stated financial assumptions -- not a number American Express, or any institution, has realized. Every assumption is designed to be replaced with an institution's own real unit economics to produce that institution's own real total.</t>
        </is>
      </c>
    </row>
  </sheetData>
  <mergeCells count="2">
    <mergeCell ref="A2:B2"/>
    <mergeCell ref="A1:B1"/>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6" customWidth="1" min="1" max="1"/>
    <col width="10" customWidth="1" min="2" max="2"/>
    <col width="40" customWidth="1" min="3" max="3"/>
  </cols>
  <sheetData>
    <row r="1">
      <c r="A1" s="1" t="inlineStr">
        <is>
          <t>All 14 Problems by Category</t>
        </is>
      </c>
    </row>
    <row r="3">
      <c r="A3" s="11" t="inlineStr">
        <is>
          <t>Category</t>
        </is>
      </c>
      <c r="B3" s="11" t="inlineStr">
        <is>
          <t>Count</t>
        </is>
      </c>
      <c r="C3" s="11" t="inlineStr">
        <is>
          <t>Problem Numbers</t>
        </is>
      </c>
    </row>
    <row r="4">
      <c r="A4" t="inlineStr">
        <is>
          <t>Foundational Model</t>
        </is>
      </c>
      <c r="B4" t="n">
        <v>2</v>
      </c>
      <c r="C4" t="inlineStr">
        <is>
          <t>P1, P2</t>
        </is>
      </c>
    </row>
    <row r="5">
      <c r="A5" t="inlineStr">
        <is>
          <t>Reserve Optimization</t>
        </is>
      </c>
      <c r="B5" t="n">
        <v>1</v>
      </c>
      <c r="C5" t="inlineStr">
        <is>
          <t>P3</t>
        </is>
      </c>
    </row>
    <row r="6">
      <c r="A6" t="inlineStr">
        <is>
          <t>Value Creation</t>
        </is>
      </c>
      <c r="B6" t="n">
        <v>10</v>
      </c>
      <c r="C6" t="inlineStr">
        <is>
          <t>P4, P5, P6, P7, P8, P9, P10, P11, P12, P13</t>
        </is>
      </c>
    </row>
    <row r="7">
      <c r="A7" t="inlineStr">
        <is>
          <t>BI Aggregation Layer</t>
        </is>
      </c>
      <c r="B7" t="n">
        <v>1</v>
      </c>
      <c r="C7" t="inlineStr">
        <is>
          <t>P14</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Nandagopal R</dc:creator>
  <dcterms:created xmlns:dcterms="http://purl.org/dc/terms/" xmlns:xsi="http://www.w3.org/2001/XMLSchema-instance" xsi:type="dcterms:W3CDTF">2026-08-27T11:07:52Z</dcterms:created>
  <dcterms:modified xmlns:dcterms="http://purl.org/dc/terms/" xmlns:xsi="http://www.w3.org/2001/XMLSchema-instance" xsi:type="dcterms:W3CDTF">2026-09-09T08:58:14Z</dcterms:modified>
  <cp:lastModifiedBy>Nandagopal R</cp:lastModifiedBy>
</cp:coreProperties>
</file>