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roblem Registry" sheetId="3" state="visible" r:id="rId3"/>
    <sheet xmlns:r="http://schemas.openxmlformats.org/officeDocument/2006/relationships" name="Risk-Profitability Map" sheetId="4" state="visible" r:id="rId4"/>
    <sheet xmlns:r="http://schemas.openxmlformats.org/officeDocument/2006/relationships" name="Model Health Matrix" sheetId="5" state="visible" r:id="rId5"/>
    <sheet xmlns:r="http://schemas.openxmlformats.org/officeDocument/2006/relationships" name="Executive Time-Savings Impact" sheetId="6" state="visible" r:id="rId6"/>
    <sheet xmlns:r="http://schemas.openxmlformats.org/officeDocument/2006/relationships" name="SMART Sugges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&gt;=1000000000]$0.00,,,&quot;B&quot;;[&gt;=1000000]$0.00,,&quot;M&quot;;&quot;$&quot;#,##0;(&quot;$&quot;#,##0)"/>
  </numFmts>
  <fonts count="11">
    <font>
      <name val="Calibri"/>
      <family val="2"/>
      <color theme="1"/>
      <sz val="11"/>
      <scheme val="minor"/>
    </font>
    <font>
      <name val="Calibri"/>
      <color rgb="000000FF"/>
    </font>
    <font>
      <name val="Calibri"/>
      <b val="1"/>
      <color rgb="00FFFFFF"/>
      <sz val="16"/>
    </font>
    <font>
      <name val="Calibri"/>
      <i val="1"/>
      <color rgb="000B1F3A"/>
      <sz val="11"/>
    </font>
    <font>
      <name val="Calibri"/>
      <color rgb="000B1F3A"/>
      <sz val="11"/>
    </font>
    <font>
      <name val="Calibri"/>
      <b val="1"/>
      <color rgb="00FFFFFF"/>
      <sz val="13"/>
    </font>
    <font>
      <name val="Calibri"/>
      <b val="1"/>
      <color rgb="000B1F3A"/>
      <sz val="13"/>
    </font>
    <font>
      <name val="Calibri"/>
      <i val="1"/>
      <color rgb="00C41E3A"/>
      <sz val="9"/>
    </font>
    <font>
      <name val="Calibri"/>
      <i val="1"/>
      <color rgb="000B1F3A"/>
      <sz val="9"/>
    </font>
    <font>
      <name val="Calibri"/>
      <i val="1"/>
      <color rgb="008A93A6"/>
      <sz val="9"/>
    </font>
    <font>
      <name val="Calibri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2F4F8"/>
      </patternFill>
    </fill>
    <fill>
      <patternFill patternType="solid">
        <fgColor rgb="0063BE7B"/>
      </patternFill>
    </fill>
    <fill>
      <patternFill patternType="solid">
        <fgColor rgb="000B1F3A"/>
      </patternFill>
    </fill>
    <fill>
      <patternFill patternType="solid">
        <fgColor rgb="00C9A227"/>
      </patternFill>
    </fill>
    <fill>
      <patternFill patternType="solid">
        <fgColor rgb="00C4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5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6" borderId="0" applyAlignment="1" pivotButton="0" quotePrefix="0" xfId="0">
      <alignment horizontal="center" wrapText="1"/>
    </xf>
    <xf numFmtId="164" fontId="6" fillId="3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wrapText="1"/>
    </xf>
    <xf numFmtId="0" fontId="5" fillId="7" borderId="0" applyAlignment="1" pivotButton="0" quotePrefix="0" xfId="0">
      <alignment horizontal="center" wrapText="1"/>
    </xf>
    <xf numFmtId="0" fontId="9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0" fillId="5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1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Executive Time-Savings: Gross vs. Net Benefit per Cycle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'Executive Time-Savings Impact'!$A$5:$A$6</f>
            </numRef>
          </cat>
          <val>
            <numRef>
              <f>'Executive Time-Savings Impact'!$B$5:$B$6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ssumptions" displayName="Assumptions" ref="A1:C8" headerRowCount="1">
  <autoFilter ref="A1:C8"/>
  <tableColumns count="3">
    <tableColumn id="1" name="Assumption"/>
    <tableColumn id="2" name="Value"/>
    <tableColumn id="3" name="Source / Rationale"/>
  </tableColumns>
  <tableStyleInfo name="TableStyleMedium4" showRowStripes="1"/>
</table>
</file>

<file path=xl/tables/table2.xml><?xml version="1.0" encoding="utf-8"?>
<table xmlns="http://schemas.openxmlformats.org/spreadsheetml/2006/main" id="2" name="ProblemRegistry" displayName="ProblemRegistry" ref="A1:F14" headerRowCount="1">
  <autoFilter ref="A1:F14"/>
  <tableColumns count="6">
    <tableColumn id="1" name="Problem #"/>
    <tableColumn id="2" name="Name"/>
    <tableColumn id="3" name="Phase"/>
    <tableColumn id="4" name="Category"/>
    <tableColumn id="5" name="Financial Value / Cycle (USD)"/>
    <tableColumn id="6" name="Status"/>
  </tableColumns>
  <tableStyleInfo name="TableStyleMedium6" showRowStripes="1"/>
</table>
</file>

<file path=xl/tables/table3.xml><?xml version="1.0" encoding="utf-8"?>
<table xmlns="http://schemas.openxmlformats.org/spreadsheetml/2006/main" id="3" name="ModelHealth" displayName="ModelHealth" ref="A1:C14" headerRowCount="1">
  <autoFilter ref="A1:C14"/>
  <tableColumns count="3">
    <tableColumn id="1" name="Problem #"/>
    <tableColumn id="2" name="Name"/>
    <tableColumn id="3" name="Status"/>
  </tableColumns>
  <tableStyleInfo name="TableStyleMedium9" showRowStripes="1"/>
</table>
</file>

<file path=xl/tables/table4.xml><?xml version="1.0" encoding="utf-8"?>
<table xmlns="http://schemas.openxmlformats.org/spreadsheetml/2006/main" id="4" name="TimeSavingsImpact" displayName="TimeSavingsImpact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5.xml><?xml version="1.0" encoding="utf-8"?>
<table xmlns="http://schemas.openxmlformats.org/spreadsheetml/2006/main" id="5" name="SmartSuggestions" displayName="SmartSuggestions" ref="A1:B7" headerRowCount="1">
  <autoFilter ref="A1:B7"/>
  <tableColumns count="2">
    <tableColumn id="1" name="Org Level"/>
    <tableColumn id="2" name="Sugges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40" customWidth="1" min="2" max="2"/>
    <col width="3" customWidth="1" min="3" max="3"/>
    <col width="22" customWidth="1" min="4" max="4"/>
    <col width="22" customWidth="1" min="5" max="5"/>
    <col width="3" customWidth="1" min="6" max="6"/>
  </cols>
  <sheetData>
    <row r="2">
      <c r="B2" s="1" t="inlineStr">
        <is>
          <t>AMEX RiskIQ -- Problem 14: Executive Decision Support Dashboard (Grand Finale)</t>
        </is>
      </c>
    </row>
    <row r="3">
      <c r="B3" s="2" t="inlineStr">
        <is>
          <t>Platform-Wide Financial Rollup, Problems 1-14</t>
        </is>
      </c>
    </row>
    <row r="5">
      <c r="B5" s="3" t="inlineStr">
        <is>
          <t>Total Platform Net Value / Cycle</t>
        </is>
      </c>
      <c r="D5" s="4" t="n">
        <v>432132848.85</v>
      </c>
    </row>
    <row r="6">
      <c r="B6" s="3" t="inlineStr">
        <is>
          <t>Reserve-Optimization Value (Separate)</t>
        </is>
      </c>
      <c r="D6" s="5" t="n">
        <v>4617593.08</v>
      </c>
    </row>
    <row r="7">
      <c r="B7" s="3" t="inlineStr">
        <is>
          <t>Production-Recommended Problems</t>
        </is>
      </c>
      <c r="D7" s="6" t="inlineStr">
        <is>
          <t>10 of 13</t>
        </is>
      </c>
    </row>
    <row r="8">
      <c r="B8" s="3" t="inlineStr">
        <is>
          <t>Excluded Problems (Foundational/Reserve/Not-Recommended)</t>
        </is>
      </c>
      <c r="D8" s="7" t="inlineStr">
        <is>
          <t>3 of 13</t>
        </is>
      </c>
    </row>
    <row r="9">
      <c r="B9" s="3" t="inlineStr">
        <is>
          <t>This Notebook's Own Net Benefit / Cycle</t>
        </is>
      </c>
      <c r="D9" s="4">
        <f>'Executive Time-Savings Impact'!B6</f>
        <v/>
      </c>
    </row>
    <row r="10">
      <c r="B10" s="3" t="inlineStr">
        <is>
          <t>Deployment Status</t>
        </is>
      </c>
      <c r="D10" s="6" t="inlineStr">
        <is>
          <t>RECOMMENDED for production</t>
        </is>
      </c>
    </row>
    <row r="11">
      <c r="B11" s="3" t="inlineStr">
        <is>
          <t>1-Year Projected Net Value (ASSUMPTION, 12x/yr)</t>
        </is>
      </c>
      <c r="D11" s="4" t="n">
        <v>5185594186.2</v>
      </c>
    </row>
    <row r="12">
      <c r="B12" s="8" t="inlineStr">
        <is>
          <t>Rows recalculate live from the Assumptions and Executive Time-Savings Impact sheets.</t>
        </is>
      </c>
    </row>
    <row r="13" ht="45" customHeight="1">
      <c r="B13" s="9" t="inlineStr">
        <is>
          <t>UNAUDITED RESULTS -- every figure on this report is a real, computed internal management estimate from this platform's own notebooks, not a certified or externally audited financial statement. Figures are shown in $M/$B shorthand for readability; the exact underlying value is always available in this platform's own persisted JSON artifacts for audit.</t>
        </is>
      </c>
    </row>
    <row r="14" ht="45" customHeight="1">
      <c r="B14" s="10" t="inlineStr">
        <is>
          <t>ASSUMPTION: projects the current real $$432.13M/cycle run-rate at a 12-cycle/year (monthly) cadence, flat, for 1/3/5 years -- an extrapolation of today's real measured figure, not a certified multi-year forecast.</t>
        </is>
      </c>
    </row>
  </sheetData>
  <mergeCells count="14">
    <mergeCell ref="D8:E8"/>
    <mergeCell ref="D6:E6"/>
    <mergeCell ref="B12:F12"/>
    <mergeCell ref="D7:E7"/>
    <mergeCell ref="D10:E10"/>
    <mergeCell ref="B2:F2"/>
    <mergeCell ref="D11:E11"/>
    <mergeCell ref="D13:E13"/>
    <mergeCell ref="D5:E5"/>
    <mergeCell ref="B3:F3"/>
    <mergeCell ref="B14:F14"/>
    <mergeCell ref="D9:E9"/>
    <mergeCell ref="B13:F13"/>
    <mergeCell ref="D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90" customWidth="1" min="3" max="3"/>
  </cols>
  <sheetData>
    <row r="1">
      <c r="A1" s="11" t="inlineStr">
        <is>
          <t>Assumption</t>
        </is>
      </c>
      <c r="B1" s="11" t="inlineStr">
        <is>
          <t>Value</t>
        </is>
      </c>
      <c r="C1" s="11" t="inlineStr">
        <is>
          <t>Source / Rationale</t>
        </is>
      </c>
    </row>
    <row r="2">
      <c r="A2" t="inlineStr">
        <is>
          <t>Review Minutes Per Report Separately</t>
        </is>
      </c>
      <c r="B2" s="12" t="n">
        <v>20</v>
      </c>
      <c r="C2" s="13" t="inlineStr">
        <is>
          <t>ASSUMPTION -- estimated minutes a CRO/head-of-risk (or their team) spends reviewing ONE problem's own report/dashboard/service output before this platform existed. Edit to your institution's real observed review time.</t>
        </is>
      </c>
    </row>
    <row r="3">
      <c r="A3" t="inlineStr">
        <is>
          <t>Review Minutes Unified Dashboard</t>
        </is>
      </c>
      <c r="B3" s="12" t="n">
        <v>45</v>
      </c>
      <c r="C3" s="13" t="inlineStr">
        <is>
          <t>ASSUMPTION -- estimated minutes to review the single unified executive dashboard covering all 13 problems (this notebook's own deliverable), replacing 13 separate reviews.</t>
        </is>
      </c>
    </row>
    <row r="4">
      <c r="A4" t="inlineStr">
        <is>
          <t>Executive Hourly Cost Usd</t>
        </is>
      </c>
      <c r="B4" s="14" t="n">
        <v>350</v>
      </c>
      <c r="C4" s="13" t="inlineStr">
        <is>
          <t>ASSUMPTION -- blended fully-loaded hourly cost of the executive(s)/senior-analyst reviewers involved (CRO-tier). Edit to your institution's real comp figures.</t>
        </is>
      </c>
    </row>
    <row r="5">
      <c r="A5" t="inlineStr">
        <is>
          <t>Reviewers Per Cycle</t>
        </is>
      </c>
      <c r="B5" s="12" t="n">
        <v>3</v>
      </c>
      <c r="C5" s="13" t="inlineStr">
        <is>
          <t>ASSUMPTION -- number of senior stakeholders (e.g. CRO + 2 direct reports) who each separately reviewed the prior 13-report format and now review the unified dashboard instead.</t>
        </is>
      </c>
    </row>
    <row r="6">
      <c r="A6" t="inlineStr">
        <is>
          <t>Dashboard Hosting Cost Usd Per Cycle</t>
        </is>
      </c>
      <c r="B6" s="14" t="n">
        <v>200</v>
      </c>
      <c r="C6" s="13" t="inlineStr">
        <is>
          <t>ASSUMPTION -- ongoing hosting/maintenance cost for the unified executive dashboard service per cycle, the genuinely new recurring cost this problem introduces (same treatment as Problem 12's ongoing-hosting-cost stream).</t>
        </is>
      </c>
    </row>
    <row r="7">
      <c r="A7" t="inlineStr">
        <is>
          <t>Implementation Cost Usd</t>
        </is>
      </c>
      <c r="B7" s="14" t="n">
        <v>30000</v>
      </c>
      <c r="C7" s="13" t="inlineStr">
        <is>
          <t>ASSUMPTION -- one-time build/integration cost for the unified executive dashboard (BI aggregation layer, deployed API, reporting pipeline).</t>
        </is>
      </c>
    </row>
    <row r="8">
      <c r="A8" t="inlineStr">
        <is>
          <t>Annual Application Cycles</t>
        </is>
      </c>
      <c r="B8" s="12" t="n">
        <v>12</v>
      </c>
      <c r="C8" s="13" t="inlineStr">
        <is>
          <t>ASSUMPTION -- monthly executive review cadence, matching this platform's other ongoing-monitoring problems' cadence.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20" customWidth="1" min="4" max="4"/>
    <col width="26" customWidth="1" min="5" max="5"/>
    <col width="18" customWidth="1" min="6" max="6"/>
  </cols>
  <sheetData>
    <row r="1">
      <c r="A1" s="11" t="inlineStr">
        <is>
          <t>Problem #</t>
        </is>
      </c>
      <c r="B1" s="11" t="inlineStr">
        <is>
          <t>Name</t>
        </is>
      </c>
      <c r="C1" s="11" t="inlineStr">
        <is>
          <t>Phase</t>
        </is>
      </c>
      <c r="D1" s="11" t="inlineStr">
        <is>
          <t>Category</t>
        </is>
      </c>
      <c r="E1" s="11" t="inlineStr">
        <is>
          <t>Financial Value / Cycle (USD)</t>
        </is>
      </c>
      <c r="F1" s="11" t="inlineStr">
        <is>
          <t>Status</t>
        </is>
      </c>
    </row>
    <row r="2">
      <c r="A2" t="n">
        <v>1</v>
      </c>
      <c r="B2" t="inlineStr">
        <is>
          <t>Credit Scoring (Static PD)</t>
        </is>
      </c>
      <c r="C2" t="inlineStr">
        <is>
          <t>Phase 1 -- Foundation</t>
        </is>
      </c>
      <c r="D2" t="inlineStr">
        <is>
          <t>foundational_model</t>
        </is>
      </c>
      <c r="E2" s="15" t="n"/>
      <c r="F2" s="16" t="inlineStr">
        <is>
          <t>FOUNDATIONAL / N/A</t>
        </is>
      </c>
    </row>
    <row r="3">
      <c r="A3" t="n">
        <v>2</v>
      </c>
      <c r="B3" t="inlineStr">
        <is>
          <t>Risk Tier Classification</t>
        </is>
      </c>
      <c r="C3" t="inlineStr">
        <is>
          <t>Phase 1 -- Foundation</t>
        </is>
      </c>
      <c r="D3" t="inlineStr">
        <is>
          <t>foundational_model</t>
        </is>
      </c>
      <c r="E3" s="15" t="n"/>
      <c r="F3" s="16" t="inlineStr">
        <is>
          <t>FOUNDATIONAL / N/A</t>
        </is>
      </c>
    </row>
    <row r="4">
      <c r="A4" t="n">
        <v>3</v>
      </c>
      <c r="B4" t="inlineStr">
        <is>
          <t>Expected Credit Loss (IFRS9/CECL)</t>
        </is>
      </c>
      <c r="C4" t="inlineStr">
        <is>
          <t>Phase 2 -- Regulatory &amp; Loss Provisioning</t>
        </is>
      </c>
      <c r="D4" t="inlineStr">
        <is>
          <t>reserve_optimization</t>
        </is>
      </c>
      <c r="E4" s="15" t="n">
        <v>4617593.08</v>
      </c>
      <c r="F4" s="17" t="inlineStr">
        <is>
          <t>RECOMMENDED</t>
        </is>
      </c>
    </row>
    <row r="5">
      <c r="A5" t="n">
        <v>4</v>
      </c>
      <c r="B5" t="inlineStr">
        <is>
          <t>Delinquency Escalation / Loss Severity</t>
        </is>
      </c>
      <c r="C5" t="inlineStr">
        <is>
          <t>Phase 2 -- Regulatory &amp; Loss Provisioning</t>
        </is>
      </c>
      <c r="D5" t="inlineStr">
        <is>
          <t>value_creation</t>
        </is>
      </c>
      <c r="E5" s="15" t="n">
        <v>9690840</v>
      </c>
      <c r="F5" s="17" t="inlineStr">
        <is>
          <t>RECOMMENDED</t>
        </is>
      </c>
    </row>
    <row r="6">
      <c r="A6" t="n">
        <v>5</v>
      </c>
      <c r="B6" t="inlineStr">
        <is>
          <t>Early Payment Default Detection</t>
        </is>
      </c>
      <c r="C6" t="inlineStr">
        <is>
          <t>Phase 3 -- Behavioral Intelligence</t>
        </is>
      </c>
      <c r="D6" t="inlineStr">
        <is>
          <t>value_creation</t>
        </is>
      </c>
      <c r="E6" s="15" t="n">
        <v>4898250</v>
      </c>
      <c r="F6" s="17" t="inlineStr">
        <is>
          <t>RECOMMENDED</t>
        </is>
      </c>
    </row>
    <row r="7">
      <c r="A7" t="n">
        <v>6</v>
      </c>
      <c r="B7" t="inlineStr">
        <is>
          <t>Dynamic / Behavioral Credit Scoring</t>
        </is>
      </c>
      <c r="C7" t="inlineStr">
        <is>
          <t>Phase 3 -- Behavioral Intelligence</t>
        </is>
      </c>
      <c r="D7" t="inlineStr">
        <is>
          <t>value_creation</t>
        </is>
      </c>
      <c r="E7" s="15" t="n">
        <v>8491170</v>
      </c>
      <c r="F7" s="17" t="inlineStr">
        <is>
          <t>RECOMMENDED</t>
        </is>
      </c>
    </row>
    <row r="8">
      <c r="A8" t="n">
        <v>7</v>
      </c>
      <c r="B8" t="inlineStr">
        <is>
          <t>Early Warning System</t>
        </is>
      </c>
      <c r="C8" t="inlineStr">
        <is>
          <t>Phase 3 -- Behavioral Intelligence</t>
        </is>
      </c>
      <c r="D8" t="inlineStr">
        <is>
          <t>value_creation</t>
        </is>
      </c>
      <c r="E8" s="15" t="n">
        <v>2912145</v>
      </c>
      <c r="F8" s="17" t="inlineStr">
        <is>
          <t>RECOMMENDED</t>
        </is>
      </c>
    </row>
    <row r="9">
      <c r="A9" t="n">
        <v>8</v>
      </c>
      <c r="B9" t="inlineStr">
        <is>
          <t>Roll-Rate Modeling</t>
        </is>
      </c>
      <c r="C9" t="inlineStr">
        <is>
          <t>Phase 3 -- Behavioral Intelligence</t>
        </is>
      </c>
      <c r="D9" t="inlineStr">
        <is>
          <t>value_creation</t>
        </is>
      </c>
      <c r="E9" s="15" t="n">
        <v>315820</v>
      </c>
      <c r="F9" s="17" t="inlineStr">
        <is>
          <t>RECOMMENDED</t>
        </is>
      </c>
    </row>
    <row r="10">
      <c r="A10" t="n">
        <v>9</v>
      </c>
      <c r="B10" t="inlineStr">
        <is>
          <t>Collections Optimization</t>
        </is>
      </c>
      <c r="C10" t="inlineStr">
        <is>
          <t>Phase 4 -- Operational Risk Management</t>
        </is>
      </c>
      <c r="D10" t="inlineStr">
        <is>
          <t>value_creation</t>
        </is>
      </c>
      <c r="E10" s="15" t="n">
        <v>341908210</v>
      </c>
      <c r="F10" s="17" t="inlineStr">
        <is>
          <t>RECOMMENDED</t>
        </is>
      </c>
    </row>
    <row r="11">
      <c r="A11" t="n">
        <v>10</v>
      </c>
      <c r="B11" t="inlineStr">
        <is>
          <t>Credit Line Management</t>
        </is>
      </c>
      <c r="C11" t="inlineStr">
        <is>
          <t>Phase 4 -- Operational Risk Management</t>
        </is>
      </c>
      <c r="D11" t="inlineStr">
        <is>
          <t>value_creation</t>
        </is>
      </c>
      <c r="E11" s="15" t="n">
        <v>2206596.12</v>
      </c>
      <c r="F11" s="17" t="inlineStr">
        <is>
          <t>RECOMMENDED</t>
        </is>
      </c>
    </row>
    <row r="12">
      <c r="A12" t="n">
        <v>11</v>
      </c>
      <c r="B12" t="inlineStr">
        <is>
          <t>Real-Time Portfolio Monitoring</t>
        </is>
      </c>
      <c r="C12" t="inlineStr">
        <is>
          <t>Phase 4 -- Operational Risk Management</t>
        </is>
      </c>
      <c r="D12" t="inlineStr">
        <is>
          <t>value_creation</t>
        </is>
      </c>
      <c r="E12" s="15" t="n">
        <v>2374108.15</v>
      </c>
      <c r="F12" s="17" t="inlineStr">
        <is>
          <t>RECOMMENDED</t>
        </is>
      </c>
    </row>
    <row r="13">
      <c r="A13" t="n">
        <v>12</v>
      </c>
      <c r="B13" t="inlineStr">
        <is>
          <t>360 Degree Customer Intelligence</t>
        </is>
      </c>
      <c r="C13" t="inlineStr">
        <is>
          <t>Phase 5 -- Customer &amp; Business Intelligence</t>
        </is>
      </c>
      <c r="D13" t="inlineStr">
        <is>
          <t>value_creation</t>
        </is>
      </c>
      <c r="E13" s="15" t="n">
        <v>1275022</v>
      </c>
      <c r="F13" s="17" t="inlineStr">
        <is>
          <t>RECOMMENDED</t>
        </is>
      </c>
    </row>
    <row r="14">
      <c r="A14" t="n">
        <v>13</v>
      </c>
      <c r="B14" t="inlineStr">
        <is>
          <t>Risk-Adjusted Profitability Modeling</t>
        </is>
      </c>
      <c r="C14" t="inlineStr">
        <is>
          <t>Phase 5 -- Customer &amp; Business Intelligence</t>
        </is>
      </c>
      <c r="D14" t="inlineStr">
        <is>
          <t>value_creation</t>
        </is>
      </c>
      <c r="E14" s="15" t="n">
        <v>58060687.58</v>
      </c>
      <c r="F14" s="17" t="inlineStr">
        <is>
          <t>RECOMMENDED</t>
        </is>
      </c>
    </row>
  </sheetData>
  <conditionalFormatting sqref="E2:E14">
    <cfRule type="colorScale" priority="1">
      <colorScale>
        <cfvo type="min"/>
        <cfvo type="max"/>
        <color rgb="00FFC7CE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1" t="inlineStr">
        <is>
          <t>Risk Grade \ Profitability Tier</t>
        </is>
      </c>
      <c r="B1" s="11" t="inlineStr">
        <is>
          <t>Low Profitability</t>
        </is>
      </c>
      <c r="C1" s="11" t="inlineStr">
        <is>
          <t>Medium Profitability</t>
        </is>
      </c>
      <c r="D1" s="11" t="inlineStr">
        <is>
          <t>High Profitability</t>
        </is>
      </c>
    </row>
    <row r="2">
      <c r="A2" t="inlineStr">
        <is>
          <t>Low Risk</t>
        </is>
      </c>
      <c r="B2" s="18" t="n">
        <v>0</v>
      </c>
      <c r="C2" s="18" t="n">
        <v>3070</v>
      </c>
      <c r="D2" s="18" t="n">
        <v>145942</v>
      </c>
    </row>
    <row r="3">
      <c r="A3" t="inlineStr">
        <is>
          <t>Medium Risk</t>
        </is>
      </c>
      <c r="B3" s="18" t="n">
        <v>546</v>
      </c>
      <c r="C3" s="18" t="n">
        <v>145649</v>
      </c>
      <c r="D3" s="18" t="n">
        <v>3091</v>
      </c>
    </row>
    <row r="4">
      <c r="A4" t="inlineStr">
        <is>
          <t>High Risk</t>
        </is>
      </c>
      <c r="B4" s="18" t="n">
        <v>148855</v>
      </c>
      <c r="C4" s="18" t="n">
        <v>542</v>
      </c>
      <c r="D4" s="18" t="n">
        <v>0</v>
      </c>
    </row>
    <row r="6">
      <c r="A6" t="inlineStr">
        <is>
          <t>Total mapped population</t>
        </is>
      </c>
      <c r="B6" t="n">
        <v>447695</v>
      </c>
    </row>
    <row r="7">
      <c r="A7" t="inlineStr">
        <is>
          <t>Note</t>
        </is>
      </c>
      <c r="B7" t="inlineStr">
        <is>
          <t>This dataset carries no real geographic/location field -- this real risk x profitability population grid is the honest analog to a geographic map.</t>
        </is>
      </c>
    </row>
  </sheetData>
  <conditionalFormatting sqref="B2:D4">
    <cfRule type="colorScale" priority="1">
      <colorScale>
        <cfvo type="min"/>
        <cfvo type="max"/>
        <color rgb="00FFFFFF"/>
        <color rgb="00C41E3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</cols>
  <sheetData>
    <row r="1">
      <c r="A1" s="11" t="inlineStr">
        <is>
          <t>Problem #</t>
        </is>
      </c>
      <c r="B1" s="11" t="inlineStr">
        <is>
          <t>Name</t>
        </is>
      </c>
      <c r="C1" s="11" t="inlineStr">
        <is>
          <t>Status</t>
        </is>
      </c>
    </row>
    <row r="2">
      <c r="A2" t="n">
        <v>1</v>
      </c>
      <c r="B2" t="inlineStr">
        <is>
          <t>Credit Scoring (Static PD)</t>
        </is>
      </c>
      <c r="C2" s="16" t="inlineStr">
        <is>
          <t>FOUNDATIONAL / N/A</t>
        </is>
      </c>
    </row>
    <row r="3">
      <c r="A3" t="n">
        <v>2</v>
      </c>
      <c r="B3" t="inlineStr">
        <is>
          <t>Risk Tier Classification</t>
        </is>
      </c>
      <c r="C3" s="16" t="inlineStr">
        <is>
          <t>FOUNDATIONAL / N/A</t>
        </is>
      </c>
    </row>
    <row r="4">
      <c r="A4" t="n">
        <v>3</v>
      </c>
      <c r="B4" t="inlineStr">
        <is>
          <t>Expected Credit Loss (IFRS9/CECL)</t>
        </is>
      </c>
      <c r="C4" s="17" t="inlineStr">
        <is>
          <t>RECOMMENDED</t>
        </is>
      </c>
    </row>
    <row r="5">
      <c r="A5" t="n">
        <v>4</v>
      </c>
      <c r="B5" t="inlineStr">
        <is>
          <t>Delinquency Escalation / Loss Severity</t>
        </is>
      </c>
      <c r="C5" s="17" t="inlineStr">
        <is>
          <t>RECOMMENDED</t>
        </is>
      </c>
    </row>
    <row r="6">
      <c r="A6" t="n">
        <v>5</v>
      </c>
      <c r="B6" t="inlineStr">
        <is>
          <t>Early Payment Default Detection</t>
        </is>
      </c>
      <c r="C6" s="17" t="inlineStr">
        <is>
          <t>RECOMMENDED</t>
        </is>
      </c>
    </row>
    <row r="7">
      <c r="A7" t="n">
        <v>6</v>
      </c>
      <c r="B7" t="inlineStr">
        <is>
          <t>Dynamic / Behavioral Credit Scoring</t>
        </is>
      </c>
      <c r="C7" s="17" t="inlineStr">
        <is>
          <t>RECOMMENDED</t>
        </is>
      </c>
    </row>
    <row r="8">
      <c r="A8" t="n">
        <v>7</v>
      </c>
      <c r="B8" t="inlineStr">
        <is>
          <t>Early Warning System</t>
        </is>
      </c>
      <c r="C8" s="17" t="inlineStr">
        <is>
          <t>RECOMMENDED</t>
        </is>
      </c>
    </row>
    <row r="9">
      <c r="A9" t="n">
        <v>8</v>
      </c>
      <c r="B9" t="inlineStr">
        <is>
          <t>Roll-Rate Modeling</t>
        </is>
      </c>
      <c r="C9" s="17" t="inlineStr">
        <is>
          <t>RECOMMENDED</t>
        </is>
      </c>
    </row>
    <row r="10">
      <c r="A10" t="n">
        <v>9</v>
      </c>
      <c r="B10" t="inlineStr">
        <is>
          <t>Collections Optimization</t>
        </is>
      </c>
      <c r="C10" s="17" t="inlineStr">
        <is>
          <t>RECOMMENDED</t>
        </is>
      </c>
    </row>
    <row r="11">
      <c r="A11" t="n">
        <v>10</v>
      </c>
      <c r="B11" t="inlineStr">
        <is>
          <t>Credit Line Management</t>
        </is>
      </c>
      <c r="C11" s="17" t="inlineStr">
        <is>
          <t>RECOMMENDED</t>
        </is>
      </c>
    </row>
    <row r="12">
      <c r="A12" t="n">
        <v>11</v>
      </c>
      <c r="B12" t="inlineStr">
        <is>
          <t>Real-Time Portfolio Monitoring</t>
        </is>
      </c>
      <c r="C12" s="17" t="inlineStr">
        <is>
          <t>RECOMMENDED</t>
        </is>
      </c>
    </row>
    <row r="13">
      <c r="A13" t="n">
        <v>12</v>
      </c>
      <c r="B13" t="inlineStr">
        <is>
          <t>360 Degree Customer Intelligence</t>
        </is>
      </c>
      <c r="C13" s="17" t="inlineStr">
        <is>
          <t>RECOMMENDED</t>
        </is>
      </c>
    </row>
    <row r="14">
      <c r="A14" t="n">
        <v>13</v>
      </c>
      <c r="B14" t="inlineStr">
        <is>
          <t>Risk-Adjusted Profitability Modeling</t>
        </is>
      </c>
      <c r="C14" s="17" t="inlineStr">
        <is>
          <t>RECOMMENDED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t="inlineStr">
        <is>
          <t>Reports Consolidated</t>
        </is>
      </c>
      <c r="B2" t="n">
        <v>13</v>
      </c>
    </row>
    <row r="3">
      <c r="A3" t="inlineStr">
        <is>
          <t>Total Review Minutes, Separately (13 reports)</t>
        </is>
      </c>
      <c r="B3">
        <f>B2*Assumptions!$B$2</f>
        <v/>
      </c>
    </row>
    <row r="4">
      <c r="A4" t="inlineStr">
        <is>
          <t>Minutes Saved / Reviewer / Cycle</t>
        </is>
      </c>
      <c r="B4">
        <f>MAX(0,B3-Assumptions!$B$3)</f>
        <v/>
      </c>
    </row>
    <row r="5">
      <c r="A5" t="inlineStr">
        <is>
          <t>Gross Time-Savings / Cycle (USD)</t>
        </is>
      </c>
      <c r="B5" s="15">
        <f>(B4/60)*Assumptions!$B$4*Assumptions!$B$5</f>
        <v/>
      </c>
    </row>
    <row r="6">
      <c r="A6" t="inlineStr">
        <is>
          <t>Net Benefit / Cycle (USD)</t>
        </is>
      </c>
      <c r="B6" s="15">
        <f>B5-Assumptions!$B$6</f>
        <v/>
      </c>
    </row>
    <row r="7">
      <c r="A7" t="inlineStr">
        <is>
          <t>Annual Net Benefit (USD)</t>
        </is>
      </c>
      <c r="B7" s="15">
        <f>B6*Assumptions!$B$8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1" t="inlineStr">
        <is>
          <t>Org Level</t>
        </is>
      </c>
      <c r="B1" s="11" t="inlineStr">
        <is>
          <t>Suggestion</t>
        </is>
      </c>
    </row>
    <row r="2">
      <c r="A2" t="inlineStr">
        <is>
          <t>Data/ML Engineer</t>
        </is>
      </c>
      <c r="B2" s="13" t="inlineStr">
        <is>
          <t>Schedule Notebooks 70-72 to re-run automatically after every one of the 13 upstream problems' own scheduled re-run, so the executive dashboard's $432,132,849/cycle headline is never more than one upstream refresh stale.</t>
        </is>
      </c>
    </row>
    <row r="3">
      <c r="A3" t="inlineStr">
        <is>
          <t>Risk Analyst</t>
        </is>
      </c>
      <c r="B3" s="13" t="inlineStr">
        <is>
          <t>Use the Problem Registry tab's phase/category filters to spot-check any single problem's real financial_value_usd against that problem's own Financial Impact report before citing the platform total in a memo.</t>
        </is>
      </c>
    </row>
    <row r="4">
      <c r="A4" t="inlineStr">
        <is>
          <t>Collections/Ops Manager</t>
        </is>
      </c>
      <c r="B4" s="13" t="inlineStr">
        <is>
          <t>Cross-reference the Risk-Profitability Map tab against your team's current worklists -- the real High-Risk/Low-Profitability cell is exactly Problem 13's own targeted cross-tier segment.</t>
        </is>
      </c>
    </row>
    <row r="5">
      <c r="A5" t="inlineStr">
        <is>
          <t>Head of Model Risk Management</t>
        </is>
      </c>
      <c r="B5" s="13" t="inlineStr">
        <is>
          <t>Treat the 3 excluded problems ([1, 2, 3]) as your MRM committee's standing agenda item: Problems [1, 2] are foundational risk models whose value is realized entirely downstream; and Problem [3] is reserve-optimization gain kept as its own distinct $4,617,593 line. None is currently a held-out-pending-KPI-review case -- re-check this each cycle, since that can change as problems are re-verified.</t>
        </is>
      </c>
    </row>
    <row r="6">
      <c r="A6" t="inlineStr">
        <is>
          <t>CRO / Head of Risk</t>
        </is>
      </c>
      <c r="B6" s="13" t="inlineStr">
        <is>
          <t>This dashboard is the single artifact for board-level reporting: $432,132,849/cycle in real, non-double-counted platform value across 10 production-recommended systems, plus real portfolio exposure context from Problem 1's Basel/IFRS9 mapping -- reviewed in one sitting instead of 13 separate ones.</t>
        </is>
      </c>
    </row>
    <row r="7">
      <c r="A7" t="inlineStr">
        <is>
          <t>Board / Audit Committee</t>
        </is>
      </c>
      <c r="B7" s="13" t="inlineStr">
        <is>
          <t>Request the Policy &amp; Validation tab's aggregation_completeness and aggregation_scope_correctness KPI results each quarter -- these two checks are what prove this dashboard's headline number is not double-counted or miscategorized, the exact failure mode board-level financial rollups are most exposed to.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2026-09-16T12:02:11Z</dcterms:created>
  <dcterms:modified xmlns:dcterms="http://purl.org/dc/terms/" xmlns:xsi="http://www.w3.org/2001/XMLSchema-instance" xsi:type="dcterms:W3CDTF">2026-09-16T12:02:11Z</dcterms:modified>
</cp:coreProperties>
</file>