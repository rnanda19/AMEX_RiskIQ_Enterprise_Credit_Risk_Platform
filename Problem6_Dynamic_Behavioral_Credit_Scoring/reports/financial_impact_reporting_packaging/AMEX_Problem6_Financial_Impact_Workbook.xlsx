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cency Impact" sheetId="3" state="visible" r:id="rId3"/>
    <sheet xmlns:r="http://schemas.openxmlformats.org/officeDocument/2006/relationships" name="SMART Sugges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-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C9A227"/>
      </patternFill>
    </fill>
    <fill>
      <patternFill patternType="solid">
        <fgColor rgb="00C41E3A"/>
      </patternFill>
    </fill>
    <fill>
      <patternFill patternType="solid">
        <fgColor rgb="0063BE7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 wrapText="1"/>
    </xf>
    <xf numFmtId="3" fontId="5" fillId="4" borderId="0" applyAlignment="1" pivotButton="0" quotePrefix="0" xfId="0">
      <alignment horizontal="center"/>
    </xf>
    <xf numFmtId="164" fontId="6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6" borderId="0" applyAlignment="1" pivotButton="0" quotePrefix="0" xfId="0">
      <alignment horizontal="center" wrapText="1"/>
    </xf>
    <xf numFmtId="0" fontId="5" fillId="7" borderId="0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pivotButton="0" quotePrefix="0" xfId="0"/>
    <xf numFmtId="164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4" fontId="6" fillId="5" borderId="0" applyAlignment="1" pivotButton="0" quotePrefix="0" xfId="0">
      <alignment horizontal="center"/>
    </xf>
    <xf numFmtId="164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Flagged Population: True Positives vs. False Positives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'Recency Impact'!B1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'Recency Impact'!$A$2:$A$6</f>
            </numRef>
          </cat>
          <val>
            <numRef>
              <f>'Recency Impact'!$B$2:$B$6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RecencyImpact" displayName="RecencyImpact" ref="A1:B12" headerRowCount="1">
  <autoFilter ref="A1:B12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1"/>
    <row r="2">
      <c r="B2" s="1" t="inlineStr">
        <is>
          <t>AMEX RiskIQ -- Problem 6: Dynamic / Behavioral Credit Scoring</t>
        </is>
      </c>
    </row>
    <row r="3">
      <c r="B3" s="2" t="inlineStr">
        <is>
          <t>Financial Impact Summary</t>
        </is>
      </c>
    </row>
    <row r="4">
      <c r="B4" s="23" t="inlineStr">
        <is>
          <t>Project Portfolio Prepared By Nandagopal R</t>
        </is>
      </c>
    </row>
    <row r="5">
      <c r="B5" s="3" t="inlineStr">
        <is>
          <t>Trailing Window (W)</t>
        </is>
      </c>
      <c r="D5" s="4" t="inlineStr">
        <is>
          <t>W=3  (reported, see Recency Impact sheet)</t>
        </is>
      </c>
    </row>
    <row r="6">
      <c r="B6" s="3" t="inlineStr">
        <is>
          <t>Defaulters Captured (Exact)</t>
        </is>
      </c>
      <c r="D6" s="5">
        <f>'Recency Impact'!B4</f>
        <v/>
      </c>
    </row>
    <row r="7">
      <c r="B7" s="3" t="inlineStr">
        <is>
          <t>Net Benefit / Cycle</t>
        </is>
      </c>
      <c r="D7" s="18">
        <f>'Recency Impact'!B11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169,723%  (reported, see Section 6)</t>
        </is>
      </c>
    </row>
    <row r="10">
      <c r="B10" s="3" t="inlineStr">
        <is>
          <t>Estimated Payback</t>
        </is>
      </c>
      <c r="D10" s="8" t="inlineStr">
        <is>
          <t>0.0 months  (reported, see Section 6)</t>
        </is>
      </c>
    </row>
    <row r="11">
      <c r="B11" s="3" t="inlineStr">
        <is>
          <t>Deployment Status</t>
        </is>
      </c>
      <c r="D11" s="9" t="inlineStr">
        <is>
          <t>RECOMMENDED for production</t>
        </is>
      </c>
    </row>
    <row r="14">
      <c r="B14" s="10" t="inlineStr">
        <is>
          <t>Rows 6-8 recalculate live from the Assumptions and Recency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B14:F14"/>
    <mergeCell ref="D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0" customWidth="1" min="3" max="3"/>
  </cols>
  <sheetData>
    <row r="1">
      <c r="A1" s="11" t="inlineStr">
        <is>
          <t>Assumption</t>
        </is>
      </c>
      <c r="B1" s="11" t="inlineStr">
        <is>
          <t>Value</t>
        </is>
      </c>
      <c r="C1" s="11" t="inlineStr">
        <is>
          <t>Source / Rationale</t>
        </is>
      </c>
    </row>
    <row r="2">
      <c r="A2" t="inlineStr">
        <is>
          <t>Ead Per Account Usd</t>
        </is>
      </c>
      <c r="B2" s="19" t="n">
        <v>5000</v>
      </c>
      <c r="C2" s="13" t="inlineStr">
        <is>
          <t>Notebook 08 (inherited, real value read programmatically)</t>
        </is>
      </c>
    </row>
    <row r="3">
      <c r="A3" t="inlineStr">
        <is>
          <t>Lgd Assumption</t>
        </is>
      </c>
      <c r="B3" s="20" t="n">
        <v>0.45</v>
      </c>
      <c r="C3" s="13" t="inlineStr">
        <is>
          <t>Notebook 08 (inherited, real value read programmatically)</t>
        </is>
      </c>
    </row>
    <row r="4">
      <c r="A4" t="inlineStr">
        <is>
          <t>Behavioral Intervention Success Rate</t>
        </is>
      </c>
      <c r="B4" s="20" t="n">
        <v>0.2</v>
      </c>
      <c r="C4" s="13" t="inlineStr">
        <is>
          <t>ASSUMPTION -- illustrative efficacy of a recency-triggered intervention (credit-line reduction, proactive outreach, reserve pre-build) on an EXISTING account flagged by recent behavioral deterioration; edit to your institution's own outcome data.</t>
        </is>
      </c>
    </row>
    <row r="5">
      <c r="A5" t="inlineStr">
        <is>
          <t>False Positive Review Cost Usd</t>
        </is>
      </c>
      <c r="B5" s="19" t="n">
        <v>35</v>
      </c>
      <c r="C5" s="13" t="inlineStr">
        <is>
          <t>ASSUMPTION -- illustrative staff-time cost of manually reviewing one account the model flags that does NOT go on to default (a false positive at the F1-optimal threshold) -- unlike Problem 5's report, this one nets this cost against the loss-prevention benefit since Notebook 40's real confusion matrix makes the false-positive count directly measurable, not just the true-positive count.</t>
        </is>
      </c>
    </row>
    <row r="6">
      <c r="A6" t="inlineStr">
        <is>
          <t>Implementation Cost Usd</t>
        </is>
      </c>
      <c r="B6" s="19" t="n">
        <v>60000</v>
      </c>
      <c r="C6" s="13" t="inlineStr">
        <is>
          <t>ASSUMPTION -- illustrative one-time build/validate/deploy cost for the dynamic/behavioral scoring service (data science + risk review time); edit to your institution's actual project cost.</t>
        </is>
      </c>
    </row>
    <row r="7">
      <c r="A7" t="inlineStr">
        <is>
          <t>Annual Application Cycles</t>
        </is>
      </c>
      <c r="B7" s="15" t="n">
        <v>12</v>
      </c>
      <c r="C7" s="13" t="inlineStr">
        <is>
          <t>ASSUMPTION -- monthly re-scoring cadence, matching Notebook 38's original 'monthly refreshed PD' business framing for this problem (Problem 5's early-window model, by contrast, used a quarterly cadence -- these are different use cases: new-account screening vs. ongoing existing-book monitoring);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Winning Trailing Window W (Notebook 40)</t>
        </is>
      </c>
      <c r="B2" t="n">
        <v>3</v>
      </c>
    </row>
    <row r="3">
      <c r="A3" t="inlineStr">
        <is>
          <t>Real Holdout Population</t>
        </is>
      </c>
      <c r="B3" t="n">
        <v>89569</v>
      </c>
    </row>
    <row r="4">
      <c r="A4" t="inlineStr">
        <is>
          <t>Real Holdout Defaulters (exact)</t>
        </is>
      </c>
      <c r="B4" t="n">
        <v>23062</v>
      </c>
    </row>
    <row r="5">
      <c r="A5" t="inlineStr">
        <is>
          <t>True Positives Flagged (exact)</t>
        </is>
      </c>
      <c r="B5" t="n">
        <v>19337</v>
      </c>
    </row>
    <row r="6">
      <c r="A6" t="inlineStr">
        <is>
          <t>False Positives Flagged (exact)</t>
        </is>
      </c>
      <c r="B6" t="n">
        <v>5988</v>
      </c>
    </row>
    <row r="7">
      <c r="A7" t="inlineStr">
        <is>
          <t>Real Defaulter Capture Rate</t>
        </is>
      </c>
      <c r="B7" s="21" t="n">
        <v>0.8384788830110138</v>
      </c>
    </row>
    <row r="8">
      <c r="A8" t="inlineStr">
        <is>
          <t>Preventable Defaults</t>
        </is>
      </c>
      <c r="B8">
        <f>ROUND(B5*Assumptions!$B$4,0)</f>
        <v/>
      </c>
    </row>
    <row r="9">
      <c r="A9" t="inlineStr">
        <is>
          <t>Gross Loss Prevented / Cycle (USD)</t>
        </is>
      </c>
      <c r="B9" s="22">
        <f>B8*Assumptions!$B$2*Assumptions!$B$3</f>
        <v/>
      </c>
    </row>
    <row r="10">
      <c r="A10" t="inlineStr">
        <is>
          <t>False-Positive Review Cost / Cycle (USD)</t>
        </is>
      </c>
      <c r="B10" s="22">
        <f>B6*Assumptions!$B$5</f>
        <v/>
      </c>
    </row>
    <row r="11">
      <c r="A11" t="inlineStr">
        <is>
          <t>Net Benefit / Cycle (USD)</t>
        </is>
      </c>
      <c r="B11" s="22">
        <f>B9-B10</f>
        <v/>
      </c>
    </row>
    <row r="12">
      <c r="A12" t="inlineStr">
        <is>
          <t>Annual Net Benefit (USD)</t>
        </is>
      </c>
      <c r="B12" s="22">
        <f>B11*Assumptions!$B$7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1" t="inlineStr">
        <is>
          <t>Org Level</t>
        </is>
      </c>
      <c r="B1" s="11" t="inlineStr">
        <is>
          <t>Suggestion</t>
        </is>
      </c>
    </row>
    <row r="2">
      <c r="A2" t="inlineStr">
        <is>
          <t>Behavioral Monitoring Ops / Frontline Risk Analysts</t>
        </is>
      </c>
      <c r="B2" s="13" t="inlineStr">
        <is>
          <t>Work the 25,325-account flag list from the W=3 recency model (83.8% real defaulter capture at the F1-optimal threshold) each monthly re-scoring cycle -- this is an EXISTING-book monitoring signal, not a new-account screen, so route flags to account review, not new-application underwriting.</t>
        </is>
      </c>
    </row>
    <row r="3">
      <c r="A3" t="inlineStr">
        <is>
          <t>Portfolio Risk Team Lead</t>
        </is>
      </c>
      <c r="B3" s="13" t="inlineStr">
        <is>
          <t>Track the 3,867-account behavioral-intervention goal (from the 20% ASSUMPTION success rate) and the 5,988 real false positives (review-cost exposure) as paired weekly KPIs -- both numbers came from the same real confusion matrix, so tightening the threshold trades one against the other.</t>
        </is>
      </c>
    </row>
    <row r="4">
      <c r="A4" t="inlineStr">
        <is>
          <t>Risk / Credit Analyst</t>
        </is>
      </c>
      <c r="B4" s="13" t="inlineStr">
        <is>
          <t>Re-run this trailing-window scoring monthly as new statement data lands; monitor the split-half score PSI (Notebook 40 measured 0.0003) and the bootstrap AUC CI (last measured [0.9528, 0.9553]) -- re-validate if either drifts materially.</t>
        </is>
      </c>
    </row>
    <row r="5">
      <c r="A5" t="inlineStr">
        <is>
          <t>Model Risk / Compliance (SR 11-7)</t>
        </is>
      </c>
      <c r="B5" s="13" t="inlineStr">
        <is>
          <t>File Notebook 40's bootstrap AUC/PR-AUC CIs, calibration gap (0.0037), and AUC-retention KPI result (MET) with the model's annual validation packet; this model is currently RECOMMENDED for production use, and is explicitly a RECENCY score complementary to Problem 1's full-history champion, not a replacement for it.</t>
        </is>
      </c>
    </row>
    <row r="6">
      <c r="A6" t="inlineStr">
        <is>
          <t>Finance / Provisioning Team</t>
        </is>
      </c>
      <c r="B6" s="13" t="inlineStr">
        <is>
          <t>Use the 19,337 recency-flagged real defaulters to trigger early reserve-timing reviews on accounts whose FULL-HISTORY score may not yet reflect their recent deterioration -- coordinate with Problem 3's ECL work and Problem 4's tier-differentiated LGD for the $ reserve amount per flagged account.</t>
        </is>
      </c>
    </row>
    <row r="7">
      <c r="A7" t="inlineStr">
        <is>
          <t>CFO / Executive Leadership</t>
        </is>
      </c>
      <c r="B7" s="13" t="inlineStr">
        <is>
          <t>Approve the $60,000 investment given an estimated 0.0 months payback and 169,723% Year-1 ROI (net of estimated false-positive review cost) from monthly behavioral re-scoring; revisit the 12x/year cadence ASSUMPTION at the next quarterly business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2026-08-25T06:42:20Z</dcterms:created>
  <dcterms:modified xmlns:dcterms="http://purl.org/dc/terms/" xmlns:xsi="http://www.w3.org/2001/XMLSchema-instance" xsi:type="dcterms:W3CDTF">2026-08-27T18:14:56Z</dcterms:modified>
  <cp:lastModifiedBy>Nandagopal R</cp:lastModifiedBy>
</cp:coreProperties>
</file>