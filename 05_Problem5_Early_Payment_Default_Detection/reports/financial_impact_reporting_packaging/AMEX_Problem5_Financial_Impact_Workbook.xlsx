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Early-Warning Impact" sheetId="3" state="visible" r:id="rId3"/>
    <sheet xmlns:r="http://schemas.openxmlformats.org/officeDocument/2006/relationships" name="SMART Sugg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color rgb="000000FF"/>
    </font>
    <font>
      <name val="Calibri"/>
      <b val="1"/>
      <color rgb="00FFFFFF"/>
      <sz val="16"/>
    </font>
    <font>
      <name val="Calibri"/>
      <i val="1"/>
      <color rgb="000B1F3A"/>
      <sz val="11"/>
    </font>
    <font>
      <name val="Calibri"/>
      <color rgb="000B1F3A"/>
      <sz val="11"/>
    </font>
    <font>
      <name val="Calibri"/>
      <b val="1"/>
      <color rgb="000B1F3A"/>
      <sz val="13"/>
    </font>
    <font>
      <name val="Calibri"/>
      <b val="1"/>
      <color rgb="00FFFFFF"/>
      <sz val="13"/>
    </font>
    <font>
      <name val="Calibri"/>
      <i val="1"/>
      <color rgb="008A93A6"/>
      <sz val="9"/>
    </font>
    <font>
      <name val="Calibri"/>
      <b val="1"/>
      <color rgb="00FFFFFF"/>
    </font>
    <font>
      <name val="Calibri"/>
      <i val="1"/>
      <color rgb="000B1F3A"/>
      <sz val="10"/>
    </font>
  </fonts>
  <fills count="8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B1F3A"/>
      </patternFill>
    </fill>
    <fill>
      <patternFill patternType="solid">
        <fgColor rgb="00F2F4F8"/>
      </patternFill>
    </fill>
    <fill>
      <patternFill patternType="solid">
        <fgColor rgb="00C9A227"/>
      </patternFill>
    </fill>
    <fill>
      <patternFill patternType="solid">
        <fgColor rgb="00C41E3A"/>
      </patternFill>
    </fill>
    <fill>
      <patternFill patternType="solid">
        <fgColor rgb="0063BE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center" wrapText="1"/>
    </xf>
    <xf numFmtId="3" fontId="5" fillId="4" borderId="0" applyAlignment="1" pivotButton="0" quotePrefix="0" xfId="0">
      <alignment horizontal="center"/>
    </xf>
    <xf numFmtId="164" fontId="6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6" borderId="0" applyAlignment="1" pivotButton="0" quotePrefix="0" xfId="0">
      <alignment horizontal="center" wrapText="1"/>
    </xf>
    <xf numFmtId="0" fontId="5" fillId="7" borderId="0" applyAlignment="1" pivotButton="0" quotePrefix="0" xfId="0">
      <alignment horizontal="center" wrapText="1"/>
    </xf>
    <xf numFmtId="0" fontId="7" fillId="0" borderId="0" pivotButton="0" quotePrefix="0" xfId="0"/>
    <xf numFmtId="0" fontId="8" fillId="3" borderId="0" pivotButton="0" quotePrefix="0" xfId="0"/>
    <xf numFmtId="164" fontId="1" fillId="2" borderId="0" pivotButton="0" quotePrefix="0" xfId="0"/>
    <xf numFmtId="0" fontId="0" fillId="0" borderId="0" applyAlignment="1" pivotButton="0" quotePrefix="0" xfId="0">
      <alignment vertical="top" wrapText="1"/>
    </xf>
    <xf numFmtId="165" fontId="1" fillId="2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4" fontId="6" fillId="5" borderId="0" applyAlignment="1" pivotButton="0" quotePrefix="0" xfId="0">
      <alignment horizontal="center"/>
    </xf>
    <xf numFmtId="164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Defaulters: Total Estimated vs. Captured Early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'Early-Warning Impact'!B1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'Early-Warning Impact'!$A$2:$A$11</f>
            </numRef>
          </cat>
          <val>
            <numRef>
              <f>'Early-Warning Impact'!$B$2:$B$11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ssumptions" displayName="Assumptions" ref="A1:C6" headerRowCount="1">
  <autoFilter ref="A1:C6"/>
  <tableColumns count="3">
    <tableColumn id="1" name="Assumption"/>
    <tableColumn id="2" name="Value"/>
    <tableColumn id="3" name="Source / Rationale"/>
  </tableColumns>
  <tableStyleInfo name="TableStyleMedium4" showRowStripes="1"/>
</table>
</file>

<file path=xl/tables/table2.xml><?xml version="1.0" encoding="utf-8"?>
<table xmlns="http://schemas.openxmlformats.org/spreadsheetml/2006/main" id="2" name="EarlyWarningImpact" displayName="EarlyWarningImpact" ref="A1:B11" headerRowCount="1">
  <autoFilter ref="A1:B11"/>
  <tableColumns count="2">
    <tableColumn id="1" name="Metric"/>
    <tableColumn id="2" name="Value"/>
  </tableColumns>
  <tableStyleInfo name="TableStyleMedium2" showRowStripes="1"/>
</table>
</file>

<file path=xl/tables/table3.xml><?xml version="1.0" encoding="utf-8"?>
<table xmlns="http://schemas.openxmlformats.org/spreadsheetml/2006/main" id="3" name="SmartSuggestions" displayName="SmartSuggestions" ref="A1:B7" headerRowCount="1">
  <autoFilter ref="A1:B7"/>
  <tableColumns count="2">
    <tableColumn id="1" name="Org Level"/>
    <tableColumn id="2" name="Suggest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2" customWidth="1" min="2" max="2"/>
    <col width="3" customWidth="1" min="3" max="3"/>
    <col width="22" customWidth="1" min="4" max="4"/>
    <col width="22" customWidth="1" min="5" max="5"/>
    <col width="3" customWidth="1" min="6" max="6"/>
  </cols>
  <sheetData>
    <row r="1"/>
    <row r="2">
      <c r="B2" s="1" t="inlineStr">
        <is>
          <t>AMEX RiskIQ -- Problem 5: Early Payment Default Detection</t>
        </is>
      </c>
    </row>
    <row r="3">
      <c r="B3" s="2" t="inlineStr">
        <is>
          <t>Financial Impact Summary</t>
        </is>
      </c>
    </row>
    <row r="4">
      <c r="B4" s="23" t="inlineStr">
        <is>
          <t>Project Portfolio Prepared By Nandagopal R</t>
        </is>
      </c>
    </row>
    <row r="5">
      <c r="B5" s="3" t="inlineStr">
        <is>
          <t>Months of Early Warning Gained</t>
        </is>
      </c>
      <c r="D5" s="4" t="inlineStr">
        <is>
          <t>10 months  (reported, see Early-Warning Impact sheet)</t>
        </is>
      </c>
    </row>
    <row r="6">
      <c r="B6" s="3" t="inlineStr">
        <is>
          <t>Defaulters Captured Early</t>
        </is>
      </c>
      <c r="D6" s="5">
        <f>'Early-Warning Impact'!B8</f>
        <v/>
      </c>
    </row>
    <row r="7">
      <c r="B7" s="3" t="inlineStr">
        <is>
          <t>Est. Loss Prevented / Cycle</t>
        </is>
      </c>
      <c r="D7" s="18">
        <f>'Early-Warning Impact'!B10</f>
        <v/>
      </c>
    </row>
    <row r="8">
      <c r="B8" s="3" t="inlineStr">
        <is>
          <t>Amount Invested</t>
        </is>
      </c>
      <c r="D8" s="7">
        <f>"$"&amp;TEXT(Assumptions!$B$5,"#,##0")</f>
        <v/>
      </c>
    </row>
    <row r="9">
      <c r="B9" s="3" t="inlineStr">
        <is>
          <t>Estimated Year-1 ROI</t>
        </is>
      </c>
      <c r="D9" s="8" t="inlineStr">
        <is>
          <t>35,524%  (reported, see Section 6)</t>
        </is>
      </c>
    </row>
    <row r="10">
      <c r="B10" s="3" t="inlineStr">
        <is>
          <t>Estimated Payback</t>
        </is>
      </c>
      <c r="D10" s="8" t="inlineStr">
        <is>
          <t>0.0 months  (reported, see Section 6)</t>
        </is>
      </c>
    </row>
    <row r="11">
      <c r="B11" s="3" t="inlineStr">
        <is>
          <t>Deployment Status</t>
        </is>
      </c>
      <c r="D11" s="9" t="inlineStr">
        <is>
          <t>RECOMMENDED for production</t>
        </is>
      </c>
    </row>
    <row r="14">
      <c r="B14" s="10" t="inlineStr">
        <is>
          <t>Rows 6-8 recalculate live from the Assumptions and Early-Warning Impact sheets.</t>
        </is>
      </c>
    </row>
  </sheetData>
  <mergeCells count="10">
    <mergeCell ref="D8:E8"/>
    <mergeCell ref="D6:E6"/>
    <mergeCell ref="D7:E7"/>
    <mergeCell ref="D10:E10"/>
    <mergeCell ref="B2:F2"/>
    <mergeCell ref="D11:E11"/>
    <mergeCell ref="D5:E5"/>
    <mergeCell ref="B3:F3"/>
    <mergeCell ref="B14:F14"/>
    <mergeCell ref="D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90" customWidth="1" min="3" max="3"/>
  </cols>
  <sheetData>
    <row r="1">
      <c r="A1" s="11" t="inlineStr">
        <is>
          <t>Assumption</t>
        </is>
      </c>
      <c r="B1" s="11" t="inlineStr">
        <is>
          <t>Value</t>
        </is>
      </c>
      <c r="C1" s="11" t="inlineStr">
        <is>
          <t>Source / Rationale</t>
        </is>
      </c>
    </row>
    <row r="2">
      <c r="A2" t="inlineStr">
        <is>
          <t>Ead Per Account Usd</t>
        </is>
      </c>
      <c r="B2" s="19" t="n">
        <v>5000</v>
      </c>
      <c r="C2" s="13" t="inlineStr">
        <is>
          <t>Notebook 08 (inherited, real value read programmatically)</t>
        </is>
      </c>
    </row>
    <row r="3">
      <c r="A3" t="inlineStr">
        <is>
          <t>Lgd Assumption</t>
        </is>
      </c>
      <c r="B3" s="20" t="n">
        <v>0.45</v>
      </c>
      <c r="C3" s="13" t="inlineStr">
        <is>
          <t>Notebook 08 (inherited, real value read programmatically)</t>
        </is>
      </c>
    </row>
    <row r="4">
      <c r="A4" t="inlineStr">
        <is>
          <t>Early Intervention Success Rate</t>
        </is>
      </c>
      <c r="B4" s="20" t="n">
        <v>0.2</v>
      </c>
      <c r="C4" s="13" t="inlineStr">
        <is>
          <t>ASSUMPTION -- illustrative efficacy of an early-warning intervention (credit-line reduction, payment-plan offer, outreach call) when applied this many months earlier than a full-history model would have flagged the same account; edit to your institution's own collections-outcome data.</t>
        </is>
      </c>
    </row>
    <row r="5">
      <c r="A5" t="inlineStr">
        <is>
          <t>Implementation Cost Usd</t>
        </is>
      </c>
      <c r="B5" s="19" t="n">
        <v>55000</v>
      </c>
      <c r="C5" s="13" t="inlineStr">
        <is>
          <t>ASSUMPTION -- illustrative one-time build/validate/deploy cost for the early-warning scoring service (data science + risk review time); edit to your institution's actual project cost.</t>
        </is>
      </c>
    </row>
    <row r="6">
      <c r="A6" t="inlineStr">
        <is>
          <t>Annual Application Cycles</t>
        </is>
      </c>
      <c r="B6" s="15" t="n">
        <v>4</v>
      </c>
      <c r="C6" s="13" t="inlineStr">
        <is>
          <t>ASSUMPTION -- how many times per year this scoring pipeline is re-run against a holdout-sized population (illustrative quarterly cadence); edit to your institution's actual monitoring frequency.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11" t="inlineStr">
        <is>
          <t>Metric</t>
        </is>
      </c>
      <c r="B1" s="11" t="inlineStr">
        <is>
          <t>Value</t>
        </is>
      </c>
    </row>
    <row r="2">
      <c r="A2" t="inlineStr">
        <is>
          <t>Median Statements, Full History (Notebook 34)</t>
        </is>
      </c>
      <c r="B2" t="n">
        <v>13</v>
      </c>
    </row>
    <row r="3">
      <c r="A3" t="inlineStr">
        <is>
          <t>Winning Early Window K (Notebook 36)</t>
        </is>
      </c>
      <c r="B3" t="n">
        <v>3</v>
      </c>
    </row>
    <row r="4">
      <c r="A4" t="inlineStr">
        <is>
          <t>Months Earlier (real, computed)</t>
        </is>
      </c>
      <c r="B4" t="n">
        <v>10</v>
      </c>
    </row>
    <row r="5">
      <c r="A5" t="inlineStr">
        <is>
          <t>Real Holdout Population</t>
        </is>
      </c>
      <c r="B5" t="n">
        <v>91783</v>
      </c>
    </row>
    <row r="6">
      <c r="A6" t="inlineStr">
        <is>
          <t>Estimated Holdout Defaulters</t>
        </is>
      </c>
      <c r="B6" s="21" t="n">
        <v>23766</v>
      </c>
    </row>
    <row r="7">
      <c r="A7" t="inlineStr">
        <is>
          <t>Real Top-4% Capture Rate</t>
        </is>
      </c>
      <c r="B7" t="n">
        <v>0.4579651603130522</v>
      </c>
    </row>
    <row r="8">
      <c r="A8" t="inlineStr">
        <is>
          <t>Defaulters Captured (Top-4% Flag List)</t>
        </is>
      </c>
      <c r="B8" t="n">
        <v>10884</v>
      </c>
    </row>
    <row r="9">
      <c r="A9" t="inlineStr">
        <is>
          <t>Preventable Defaults</t>
        </is>
      </c>
      <c r="B9">
        <f>ROUND(B7*Assumptions!$B$4,0)</f>
        <v/>
      </c>
    </row>
    <row r="10">
      <c r="A10" t="inlineStr">
        <is>
          <t>Loss Prevented / Cycle (USD)</t>
        </is>
      </c>
      <c r="B10" s="22">
        <f>B9*Assumptions!$B$2*Assumptions!$B$3</f>
        <v/>
      </c>
    </row>
    <row r="11">
      <c r="A11" t="inlineStr">
        <is>
          <t>Annual Benefit (USD)</t>
        </is>
      </c>
      <c r="B11" s="22">
        <f>B10*Assumptions!$B$6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1" t="inlineStr">
        <is>
          <t>Org Level</t>
        </is>
      </c>
      <c r="B1" s="11" t="inlineStr">
        <is>
          <t>Suggestion</t>
        </is>
      </c>
    </row>
    <row r="2">
      <c r="A2" t="inlineStr">
        <is>
          <t>Early-Warning Ops / Frontline Risk Analysts</t>
        </is>
      </c>
      <c r="B2" s="13" t="inlineStr">
        <is>
          <t>Work the top-4% highest-risk flag list from the K=3 model daily -- it needs only a customer's first 3 statements, so accounts can be worked ~10 months sooner than waiting for full history. Target: contact attempt within 48 hours of a new top-4% flag.</t>
        </is>
      </c>
    </row>
    <row r="3">
      <c r="A3" t="inlineStr">
        <is>
          <t>Collections/Risk Team Lead</t>
        </is>
      </c>
      <c r="B3" s="13" t="inlineStr">
        <is>
          <t>Track the 2,177-account early-intervention goal (from the 20% ASSUMPTION success rate) as a weekly KPI; report actual prevented-default count vs. this target each month to calibrate the assumption.</t>
        </is>
      </c>
    </row>
    <row r="4">
      <c r="A4" t="inlineStr">
        <is>
          <t>Risk / Credit Analyst</t>
        </is>
      </c>
      <c r="B4" s="13" t="inlineStr">
        <is>
          <t>Re-run this early-window scoring each time new statement data lands; monitor the split-half score PSI (Notebook 36 measured 0.0004) and the bootstrap AUC CI (last measured [0.9248, 0.9282]) -- re-validate if either drifts materially.</t>
        </is>
      </c>
    </row>
    <row r="5">
      <c r="A5" t="inlineStr">
        <is>
          <t>Model Risk / Compliance (SR 11-7)</t>
        </is>
      </c>
      <c r="B5" s="13" t="inlineStr">
        <is>
          <t>File Notebook 36's bootstrap CI, calibration gap (0.0026), and AUC-retention KPI result (MET) with the model's annual validation packet; this model is currently RECOMMENDED for production use.</t>
        </is>
      </c>
    </row>
    <row r="6">
      <c r="A6" t="inlineStr">
        <is>
          <t>Finance / Provisioning Team</t>
        </is>
      </c>
      <c r="B6" s="13" t="inlineStr">
        <is>
          <t>Use the early-flagged population to time reserve builds ~10 months sooner than the full-history model would allow -- coordinate with Problem 4's tier-differentiated LGD work for the $ reserve amount per flagged account.</t>
        </is>
      </c>
    </row>
    <row r="7">
      <c r="A7" t="inlineStr">
        <is>
          <t>CFO / Executive Leadership</t>
        </is>
      </c>
      <c r="B7" s="13" t="inlineStr">
        <is>
          <t>Approve the $55,000 investment given an estimated 0.0 months payback and 35,524% Year-1 ROI from early intervention alone; revisit the 4x/year cadence ASSUMPTION at the next quarterly business review.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Nandagopal R</dc:creator>
  <dcterms:created xmlns:dcterms="http://purl.org/dc/terms/" xmlns:xsi="http://www.w3.org/2001/XMLSchema-instance" xsi:type="dcterms:W3CDTF">2026-08-24T20:52:37Z</dcterms:created>
  <dcterms:modified xmlns:dcterms="http://purl.org/dc/terms/" xmlns:xsi="http://www.w3.org/2001/XMLSchema-instance" xsi:type="dcterms:W3CDTF">2026-08-27T18:14:56Z</dcterms:modified>
  <cp:lastModifiedBy>Nandagopal R</cp:lastModifiedBy>
</cp:coreProperties>
</file>