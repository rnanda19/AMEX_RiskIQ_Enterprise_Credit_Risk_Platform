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Alert Impact" sheetId="3" state="visible" r:id="rId3"/>
    <sheet xmlns:r="http://schemas.openxmlformats.org/officeDocument/2006/relationships" name="Candidate Sweep (NB43)" sheetId="4" state="visible" r:id="rId4"/>
    <sheet xmlns:r="http://schemas.openxmlformats.org/officeDocument/2006/relationships" name="SMART Sugges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"/>
    <numFmt numFmtId="166" formatCode="0.00&quot;x&quot;"/>
  </numFmts>
  <fonts count="11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  <font>
      <name val="Calibri"/>
      <i val="1"/>
      <color rgb="000B1F3A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  <fill>
      <patternFill patternType="solid">
        <fgColor rgb="0063BE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wrapText="1"/>
    </xf>
    <xf numFmtId="3" fontId="5" fillId="4" borderId="0" applyAlignment="1" pivotButton="0" quotePrefix="0" xfId="0">
      <alignment horizontal="center"/>
    </xf>
    <xf numFmtId="164" fontId="6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6" borderId="0" applyAlignment="1" pivotButton="0" quotePrefix="0" xfId="0">
      <alignment horizontal="center" wrapText="1"/>
    </xf>
    <xf numFmtId="0" fontId="5" fillId="7" borderId="0" applyAlignment="1" pivotButton="0" quotePrefix="0" xfId="0">
      <alignment horizontal="center" wrapText="1"/>
    </xf>
    <xf numFmtId="0" fontId="7" fillId="0" borderId="0" pivotButton="0" quotePrefix="0" xfId="0"/>
    <xf numFmtId="0" fontId="8" fillId="3" borderId="0" pivotButton="0" quotePrefix="0" xfId="0"/>
    <xf numFmtId="164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1" fillId="2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164" fontId="6" fillId="5" borderId="0" applyAlignment="1" pivotButton="0" quotePrefix="0" xfId="0">
      <alignment horizontal="center"/>
    </xf>
    <xf numFmtId="164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Flagged Population: True Positives vs. False Positives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'Alert Impact'!B1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'Alert Impact'!$A$2:$A$6</f>
            </numRef>
          </cat>
          <val>
            <numRef>
              <f>'Alert Impact'!$B$2:$B$6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7" headerRowCount="1">
  <autoFilter ref="A1:C7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AlertImpact" displayName="AlertImpact" ref="A1:B12" headerRowCount="1">
  <autoFilter ref="A1:B12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CandidateSweep" displayName="CandidateSweep" ref="A1:I10" headerRowCount="1">
  <autoFilter ref="A1:I10"/>
  <tableColumns count="9">
    <tableColumn id="1" name="Candidate"/>
    <tableColumn id="2" name="N Alerted"/>
    <tableColumn id="3" name="% Alerted"/>
    <tableColumn id="4" name="Default Rate Lift"/>
    <tableColumn id="5" name="Meets KPI"/>
    <tableColumn id="6" name="Precision"/>
    <tableColumn id="7" name="Recall"/>
    <tableColumn id="8" name="F1"/>
    <tableColumn id="9" name="MCC"/>
  </tableColumns>
  <tableStyleInfo name="TableStyleMedium6" showRowStripes="1"/>
</table>
</file>

<file path=xl/tables/table4.xml><?xml version="1.0" encoding="utf-8"?>
<table xmlns="http://schemas.openxmlformats.org/spreadsheetml/2006/main" id="4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6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AMEX RiskIQ -- Problem 7: Early Warning System</t>
        </is>
      </c>
    </row>
    <row r="3">
      <c r="B3" s="2" t="inlineStr">
        <is>
          <t>Comprehensive Financial Impact Summary</t>
        </is>
      </c>
    </row>
    <row r="4">
      <c r="B4" s="25" t="inlineStr">
        <is>
          <t>Project Portfolio Prepared By Nandagopal R</t>
        </is>
      </c>
    </row>
    <row r="5">
      <c r="B5" s="3" t="inlineStr">
        <is>
          <t>Winning Candidate</t>
        </is>
      </c>
      <c r="D5" s="4" t="inlineStr">
        <is>
          <t>MIN_DEVIATION_COUNT=10  (see Candidate Sweep sheet)</t>
        </is>
      </c>
    </row>
    <row r="6">
      <c r="B6" s="3" t="inlineStr">
        <is>
          <t>Defaulters Captured (Exact)</t>
        </is>
      </c>
      <c r="D6" s="5">
        <f>'Alert Impact'!B4</f>
        <v/>
      </c>
    </row>
    <row r="7">
      <c r="B7" s="3" t="inlineStr">
        <is>
          <t>Net Benefit / Cycle</t>
        </is>
      </c>
      <c r="D7" s="20">
        <f>'Alert Impact'!B11</f>
        <v/>
      </c>
    </row>
    <row r="8">
      <c r="B8" s="3" t="inlineStr">
        <is>
          <t>Amount Invested</t>
        </is>
      </c>
      <c r="D8" s="7">
        <f>"$"&amp;TEXT(Assumptions!$B$6,"#,##0")</f>
        <v/>
      </c>
    </row>
    <row r="9">
      <c r="B9" s="3" t="inlineStr">
        <is>
          <t>Estimated Year-1 ROI</t>
        </is>
      </c>
      <c r="D9" s="8" t="inlineStr">
        <is>
          <t>116,386%  (reported, see Section 7)</t>
        </is>
      </c>
    </row>
    <row r="10">
      <c r="B10" s="3" t="inlineStr">
        <is>
          <t>Estimated Payback</t>
        </is>
      </c>
      <c r="D10" s="8" t="inlineStr">
        <is>
          <t>0.0 months  (reported, see Section 7)</t>
        </is>
      </c>
    </row>
    <row r="11">
      <c r="B11" s="3" t="inlineStr">
        <is>
          <t>Deployment Status</t>
        </is>
      </c>
      <c r="D11" s="9" t="inlineStr">
        <is>
          <t>RECOMMENDED for production</t>
        </is>
      </c>
    </row>
    <row r="14">
      <c r="B14" s="10" t="inlineStr">
        <is>
          <t>Rows 6-8 recalculate live from the Assumptions and Alert Impact sheets.</t>
        </is>
      </c>
    </row>
    <row r="15">
      <c r="A15" s="26" t="inlineStr">
        <is>
          <t>Business Impact — Modeled Estimate, Not Audited Value</t>
        </is>
      </c>
      <c r="B15" t="inlineStr">
        <is>
          <t>The $2,912,145 estimated net benefit per cycle is a self-computed business-impact model under this report's own stated ASSUMPTION (15% intervention success rate, $15 per-false-positive review cost) -- it has not been audited by a third party or realized inside a live institution.</t>
        </is>
      </c>
    </row>
    <row r="16">
      <c r="A16" s="26" t="inlineStr">
        <is>
          <t>Independent Audit Status</t>
        </is>
      </c>
      <c r="B16" t="inlineStr">
        <is>
          <t>This project was developed as an independent portfolio body of work and has not undergone formal validation, audit, or sign-off by a financial institution's model risk management (SR 11-7 or equivalent) function, a third-party auditor, or a regulator. All model outputs, risk metrics, and business-impact figures in this report are self-computed under the assumptions stated herein and have not been realized in a live production environment at a financial institution.</t>
        </is>
      </c>
    </row>
  </sheetData>
  <mergeCells count="10">
    <mergeCell ref="D8:E8"/>
    <mergeCell ref="D6:E6"/>
    <mergeCell ref="D7:E7"/>
    <mergeCell ref="D10:E10"/>
    <mergeCell ref="B2:F2"/>
    <mergeCell ref="D11:E11"/>
    <mergeCell ref="D5:E5"/>
    <mergeCell ref="B3:F3"/>
    <mergeCell ref="B14:F14"/>
    <mergeCell ref="D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0" customWidth="1" min="3" max="3"/>
  </cols>
  <sheetData>
    <row r="1">
      <c r="A1" s="11" t="inlineStr">
        <is>
          <t>Assumption</t>
        </is>
      </c>
      <c r="B1" s="11" t="inlineStr">
        <is>
          <t>Value</t>
        </is>
      </c>
      <c r="C1" s="11" t="inlineStr">
        <is>
          <t>Source / Rationale</t>
        </is>
      </c>
    </row>
    <row r="2">
      <c r="A2" t="inlineStr">
        <is>
          <t>Ead Per Account Usd</t>
        </is>
      </c>
      <c r="B2" s="21" t="n">
        <v>5000</v>
      </c>
      <c r="C2" s="13" t="inlineStr">
        <is>
          <t>Notebook 08 (inherited, real value read programmatically)</t>
        </is>
      </c>
    </row>
    <row r="3">
      <c r="A3" t="inlineStr">
        <is>
          <t>Lgd Assumption</t>
        </is>
      </c>
      <c r="B3" s="22" t="n">
        <v>0.45</v>
      </c>
      <c r="C3" s="13" t="inlineStr">
        <is>
          <t>Notebook 08 (inherited, real value read programmatically)</t>
        </is>
      </c>
    </row>
    <row r="4">
      <c r="A4" t="inlineStr">
        <is>
          <t>Alert Intervention Success Rate</t>
        </is>
      </c>
      <c r="B4" s="22" t="n">
        <v>0.15</v>
      </c>
      <c r="C4" s="13" t="inlineStr">
        <is>
          <t>ASSUMPTION -- illustrative efficacy of a lightweight early-warning-triggered check-in (a proactive phone/email outreach or a soft credit-line freeze) on an account whose LATEST statement deviated from its own recent baseline; set lower than Problem 6's 20% recency-model assumption since an early-warning alert is a much lighter-touch signal (a statistical deviation, not a trained model's calibrated PD) -- edit to your institution's own outcome data.</t>
        </is>
      </c>
    </row>
    <row r="5">
      <c r="A5" t="inlineStr">
        <is>
          <t>False Positive Review Cost Usd</t>
        </is>
      </c>
      <c r="B5" s="21" t="n">
        <v>15</v>
      </c>
      <c r="C5" s="13" t="inlineStr">
        <is>
          <t>ASSUMPTION -- illustrative staff-time cost of a quick triage check on one account this technique flags that does NOT go on to default -- set lower than Problem 6's $35 assumption because an early-warning alert review is a fast automated-then-human triage step, not a full account re-underwrite; edit to your institution's actual cost.</t>
        </is>
      </c>
    </row>
    <row r="6">
      <c r="A6" t="inlineStr">
        <is>
          <t>Implementation Cost Usd</t>
        </is>
      </c>
      <c r="B6" s="21" t="n">
        <v>30000</v>
      </c>
      <c r="C6" s="13" t="inlineStr">
        <is>
          <t>ASSUMPTION -- illustrative one-time build/validate/deploy cost for the real-time alert service; set lower than Problem 6's $60,000 since this is a stateless, rule-based service (no model training/retraining pipeline to build or maintain) -- edit to your institution's actual project cost.</t>
        </is>
      </c>
    </row>
    <row r="7">
      <c r="A7" t="inlineStr">
        <is>
          <t>Annual Application Cycles</t>
        </is>
      </c>
      <c r="B7" s="15" t="n">
        <v>12</v>
      </c>
      <c r="C7" s="13" t="inlineStr">
        <is>
          <t>ASSUMPTION -- monthly re-scoring cadence, matching Problem 6's own monitoring cadence (both are statement-driven, ongoing existing-book monitoring signals, unlike Problem 5's quarterly new-account screening cadence); edit to your institution's actual cadence.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Winning MIN_DEVIATION_COUNT (Notebook 44)</t>
        </is>
      </c>
      <c r="B2" t="n">
        <v>10</v>
      </c>
    </row>
    <row r="3">
      <c r="A3" t="inlineStr">
        <is>
          <t>Real Holdout Population</t>
        </is>
      </c>
      <c r="B3" t="n">
        <v>88389</v>
      </c>
    </row>
    <row r="4">
      <c r="A4" t="inlineStr">
        <is>
          <t>Real Holdout Defaulters (exact)</t>
        </is>
      </c>
      <c r="B4" t="n">
        <v>22641</v>
      </c>
    </row>
    <row r="5">
      <c r="A5" t="inlineStr">
        <is>
          <t>True Positives Flagged (exact)</t>
        </is>
      </c>
      <c r="B5" t="n">
        <v>9171</v>
      </c>
    </row>
    <row r="6">
      <c r="A6" t="inlineStr">
        <is>
          <t>False Positives Flagged (exact)</t>
        </is>
      </c>
      <c r="B6" t="n">
        <v>12257</v>
      </c>
    </row>
    <row r="7">
      <c r="A7" t="inlineStr">
        <is>
          <t>Real Defaulter Capture Rate</t>
        </is>
      </c>
      <c r="B7" s="23" t="n">
        <v>0.4050616138863125</v>
      </c>
    </row>
    <row r="8">
      <c r="A8" t="inlineStr">
        <is>
          <t>Preventable Defaults</t>
        </is>
      </c>
      <c r="B8">
        <f>ROUND(B5*Assumptions!$B$4,0)</f>
        <v/>
      </c>
    </row>
    <row r="9">
      <c r="A9" t="inlineStr">
        <is>
          <t>Gross Loss Prevented / Cycle (USD)</t>
        </is>
      </c>
      <c r="B9" s="24">
        <f>B8*Assumptions!$B$2*Assumptions!$B$3</f>
        <v/>
      </c>
    </row>
    <row r="10">
      <c r="A10" t="inlineStr">
        <is>
          <t>False-Positive Review Cost / Cycle (USD)</t>
        </is>
      </c>
      <c r="B10" s="24">
        <f>B6*Assumptions!$B$5</f>
        <v/>
      </c>
    </row>
    <row r="11">
      <c r="A11" t="inlineStr">
        <is>
          <t>Net Benefit / Cycle (USD)</t>
        </is>
      </c>
      <c r="B11" s="24">
        <f>B9-B10</f>
        <v/>
      </c>
    </row>
    <row r="12">
      <c r="A12" t="inlineStr">
        <is>
          <t>Annual Net Benefit (USD)</t>
        </is>
      </c>
      <c r="B12" s="24">
        <f>B11*Assumptions!$B$7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6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>
      <c r="A1" s="11" t="inlineStr">
        <is>
          <t>Candidate</t>
        </is>
      </c>
      <c r="B1" s="11" t="inlineStr">
        <is>
          <t>N Alerted</t>
        </is>
      </c>
      <c r="C1" s="11" t="inlineStr">
        <is>
          <t>% Alerted</t>
        </is>
      </c>
      <c r="D1" s="11" t="inlineStr">
        <is>
          <t>Default Rate Lift</t>
        </is>
      </c>
      <c r="E1" s="11" t="inlineStr">
        <is>
          <t>Meets KPI</t>
        </is>
      </c>
      <c r="F1" s="11" t="inlineStr">
        <is>
          <t>Precision</t>
        </is>
      </c>
      <c r="G1" s="11" t="inlineStr">
        <is>
          <t>Recall</t>
        </is>
      </c>
      <c r="H1" s="11" t="inlineStr">
        <is>
          <t>F1</t>
        </is>
      </c>
      <c r="I1" s="11" t="inlineStr">
        <is>
          <t>MCC</t>
        </is>
      </c>
    </row>
    <row r="2">
      <c r="A2" t="n">
        <v>1</v>
      </c>
      <c r="B2" t="n">
        <v>88192</v>
      </c>
      <c r="C2" s="18" t="n">
        <v>0.9977712158752786</v>
      </c>
      <c r="D2" s="19" t="n">
        <v>1.001127104686779</v>
      </c>
      <c r="E2" t="inlineStr">
        <is>
          <t>No</t>
        </is>
      </c>
      <c r="F2" t="n">
        <v>0.2564404934687954</v>
      </c>
      <c r="G2" t="n">
        <v>0.9988958084890244</v>
      </c>
      <c r="H2" t="n">
        <v>0.4081094980736784</v>
      </c>
      <c r="I2" t="n">
        <v>0.01399433504986657</v>
      </c>
    </row>
    <row r="3">
      <c r="A3" t="n">
        <v>2</v>
      </c>
      <c r="B3" t="n">
        <v>87045</v>
      </c>
      <c r="C3" s="18" t="n">
        <v>0.9847944880019007</v>
      </c>
      <c r="D3" s="19" t="n">
        <v>1.008174650757145</v>
      </c>
      <c r="E3" t="inlineStr">
        <is>
          <t>No</t>
        </is>
      </c>
      <c r="F3" t="n">
        <v>0.2582457349646735</v>
      </c>
      <c r="G3" t="n">
        <v>0.9928448390088777</v>
      </c>
      <c r="H3" t="n">
        <v>0.4098791094579071</v>
      </c>
      <c r="I3" t="n">
        <v>0.03860539648270524</v>
      </c>
    </row>
    <row r="4">
      <c r="A4" t="n">
        <v>3</v>
      </c>
      <c r="B4" t="n">
        <v>84127</v>
      </c>
      <c r="C4" s="18" t="n">
        <v>0.9517813302560273</v>
      </c>
      <c r="D4" s="19" t="n">
        <v>1.026994817090138</v>
      </c>
      <c r="E4" t="inlineStr">
        <is>
          <t>No</t>
        </is>
      </c>
      <c r="F4" t="n">
        <v>0.263066554138386</v>
      </c>
      <c r="G4" t="n">
        <v>0.9774744931760965</v>
      </c>
      <c r="H4" t="n">
        <v>0.4145624157050802</v>
      </c>
      <c r="I4" t="n">
        <v>0.07037977865164217</v>
      </c>
    </row>
    <row r="5">
      <c r="A5" t="n">
        <v>5</v>
      </c>
      <c r="B5" t="n">
        <v>69466</v>
      </c>
      <c r="C5" s="18" t="n">
        <v>0.7859122741517609</v>
      </c>
      <c r="D5" s="19" t="n">
        <v>1.122129918301476</v>
      </c>
      <c r="E5" t="inlineStr">
        <is>
          <t>No</t>
        </is>
      </c>
      <c r="F5" t="n">
        <v>0.2874355799959692</v>
      </c>
      <c r="G5" t="n">
        <v>0.881895675986043</v>
      </c>
      <c r="H5" t="n">
        <v>0.4335609671360483</v>
      </c>
      <c r="I5" t="n">
        <v>0.1373155583007736</v>
      </c>
    </row>
    <row r="6">
      <c r="A6" t="n">
        <v>8</v>
      </c>
      <c r="B6" t="n">
        <v>37675</v>
      </c>
      <c r="C6" s="18" t="n">
        <v>0.4262408218217199</v>
      </c>
      <c r="D6" s="19" t="n">
        <v>1.407592770770985</v>
      </c>
      <c r="E6" t="inlineStr">
        <is>
          <t>No</t>
        </is>
      </c>
      <c r="F6" t="n">
        <v>0.360557398805574</v>
      </c>
      <c r="G6" t="n">
        <v>0.5999734994037366</v>
      </c>
      <c r="H6" t="n">
        <v>0.45042774719809</v>
      </c>
      <c r="I6" t="n">
        <v>0.2061558670548354</v>
      </c>
    </row>
    <row r="7">
      <c r="A7" t="n">
        <v>10</v>
      </c>
      <c r="B7" t="n">
        <v>21428</v>
      </c>
      <c r="C7" s="18" t="n">
        <v>0.2424283564696965</v>
      </c>
      <c r="D7" s="19" t="n">
        <v>1.670850802211932</v>
      </c>
      <c r="E7" t="inlineStr">
        <is>
          <t>Yes</t>
        </is>
      </c>
      <c r="F7" t="n">
        <v>0.4279914131043495</v>
      </c>
      <c r="G7" t="n">
        <v>0.4050616138863125</v>
      </c>
      <c r="H7" t="n">
        <v>0.4162109419319703</v>
      </c>
      <c r="I7" t="n">
        <v>0.2226959536289439</v>
      </c>
    </row>
    <row r="8">
      <c r="A8" t="n">
        <v>12</v>
      </c>
      <c r="B8" t="n">
        <v>11183</v>
      </c>
      <c r="C8" s="18" t="n">
        <v>0.126520268359185</v>
      </c>
      <c r="D8" s="19" t="n">
        <v>1.950396739376873</v>
      </c>
      <c r="E8" t="inlineStr">
        <is>
          <t>Yes</t>
        </is>
      </c>
      <c r="F8" t="n">
        <v>0.4995976035053206</v>
      </c>
      <c r="G8" t="n">
        <v>0.2467647188728413</v>
      </c>
      <c r="H8" t="n">
        <v>0.3303571428571428</v>
      </c>
      <c r="I8" t="n">
        <v>0.2122585059508088</v>
      </c>
    </row>
    <row r="9">
      <c r="A9" t="n">
        <v>15</v>
      </c>
      <c r="B9" t="n">
        <v>3783</v>
      </c>
      <c r="C9" s="18" t="n">
        <v>0.04279944336965007</v>
      </c>
      <c r="D9" s="19" t="n">
        <v>2.254850307882919</v>
      </c>
      <c r="E9" t="inlineStr">
        <is>
          <t>Yes</t>
        </is>
      </c>
      <c r="F9" t="n">
        <v>0.577583928099392</v>
      </c>
      <c r="G9" t="n">
        <v>0.096506338059273</v>
      </c>
      <c r="H9" t="n">
        <v>0.16537995761429</v>
      </c>
      <c r="I9" t="n">
        <v>0.1557098333294085</v>
      </c>
    </row>
    <row r="10">
      <c r="A10" t="n">
        <v>20</v>
      </c>
      <c r="B10" t="n">
        <v>462</v>
      </c>
      <c r="C10" s="18" t="n">
        <v>0.005226894749346638</v>
      </c>
      <c r="D10" s="19" t="n">
        <v>2.619523712010793</v>
      </c>
      <c r="E10" t="inlineStr">
        <is>
          <t>Yes</t>
        </is>
      </c>
      <c r="F10" t="n">
        <v>0.670995670995671</v>
      </c>
      <c r="G10" t="n">
        <v>0.01369197473609823</v>
      </c>
      <c r="H10" t="n">
        <v>0.02683634160065792</v>
      </c>
      <c r="I10" t="n">
        <v>0.06888960587762505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1" t="inlineStr">
        <is>
          <t>Org Level</t>
        </is>
      </c>
      <c r="B1" s="11" t="inlineStr">
        <is>
          <t>Suggestion</t>
        </is>
      </c>
    </row>
    <row r="2">
      <c r="A2" t="inlineStr">
        <is>
          <t>Behavioral Monitoring Ops / Frontline Risk Analysts</t>
        </is>
      </c>
      <c r="B2" s="13" t="inlineStr">
        <is>
          <t>Work the 21,428-account alert list from the real-time early warning service (candidate MIN_DEVIATION_COUNT=10, 40.5% real defaulter capture) as new statements land -- this is a per-statement, near-real-time signal (not a monthly batch score), so route alerts to same-week outreach, not end-of-cycle review.</t>
        </is>
      </c>
    </row>
    <row r="3">
      <c r="A3" t="inlineStr">
        <is>
          <t>Portfolio Risk Team Lead</t>
        </is>
      </c>
      <c r="B3" s="13" t="inlineStr">
        <is>
          <t>Track the 1,376-account intervention goal (from the 15% ASSUMPTION success rate) and the 12,257 real false positives (review-cost exposure) as paired weekly KPIs, exactly as Problem 6 tracks its own pair -- both platforms' thresholds trade the same true-positive/false-positive tension, just via different mechanisms (a trained model's threshold vs. this technique's deviation-count threshold).</t>
        </is>
      </c>
    </row>
    <row r="4">
      <c r="A4" t="inlineStr">
        <is>
          <t>Risk / Credit Analyst</t>
        </is>
      </c>
      <c r="B4" s="13" t="inlineStr">
        <is>
          <t>Monitor the real default-rate lift (1.67x, 95% CI [1.65x, 1.69x]) and the split-half score PSI (0.0002) every cycle -- a small alerted population (24.24% of holdout) makes the lift point estimate sensitive to individual customers, which is exactly why the bootstrap CI (not just the point estimate) is the number to watch for drift.</t>
        </is>
      </c>
    </row>
    <row r="5">
      <c r="A5" t="inlineStr">
        <is>
          <t>Model Risk / Compliance (SR 11-7)</t>
        </is>
      </c>
      <c r="B5" s="13" t="inlineStr">
        <is>
          <t>File Notebook 44's bootstrap lift/AUC CIs, score-rank calibration monotonicity (True), and lift-KPI result (MET) with the technique's annual governance packet; note this is an unsupervised, rule-based statistical-process-control technique, not a trained classifier, so its governance review should assess policy-parameter stability (Z_THRESHOLD, MIN_DEVIATION_COUNT), not model retraining cadence. Currently RECOMMENDED for production.</t>
        </is>
      </c>
    </row>
    <row r="6">
      <c r="A6" t="inlineStr">
        <is>
          <t>Finance / Provisioning Team</t>
        </is>
      </c>
      <c r="B6" s="13" t="inlineStr">
        <is>
          <t>Use the 9,171 alert-flagged real defaulters to trigger EARLY, same-cycle reserve-timing reviews on accounts whose deviation from their own baseline may predate what Problem 6's recency model or Problem 1's full-history model would flag -- coordinate with Problem 3's ECL work and Problem 4's tier-differentiated LGD for the $ reserve amount per flagged account.</t>
        </is>
      </c>
    </row>
    <row r="7">
      <c r="A7" t="inlineStr">
        <is>
          <t>CFO / Executive Leadership</t>
        </is>
      </c>
      <c r="B7" s="13" t="inlineStr">
        <is>
          <t>Approve the $30,000 investment given an estimated 0.0 months payback and 116,386% Year-1 ROI (net of estimated false-positive review cost) from monthly-equivalent alert triage; note this technique's lower implementation cost than Problem 6's ($30,000 vs. Problem 6's assumption) reflects its stateless, rule-based nature -- no model training/retraining pipeline to build.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Nandagopal R</dc:creator>
  <dcterms:created xmlns:dcterms="http://purl.org/dc/terms/" xmlns:xsi="http://www.w3.org/2001/XMLSchema-instance" xsi:type="dcterms:W3CDTF">2026-08-26T12:16:40Z</dcterms:created>
  <dcterms:modified xmlns:dcterms="http://purl.org/dc/terms/" xmlns:xsi="http://www.w3.org/2001/XMLSchema-instance" xsi:type="dcterms:W3CDTF">2026-09-04T09:05:36Z</dcterms:modified>
  <cp:lastModifiedBy>Nandagopal R</cp:lastModifiedBy>
</cp:coreProperties>
</file>